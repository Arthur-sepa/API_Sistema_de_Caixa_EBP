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5.07 - 05.09" sheetId="1" state="visible" r:id="rId1"/>
    <sheet name="06.09 - 30.11" sheetId="2" state="visible" r:id="rId2"/>
    <sheet name="01.12 - 31.12" sheetId="3" state="visible" r:id="rId3"/>
    <sheet name="2021" sheetId="4" state="visible" r:id="rId4"/>
    <sheet name="2022" sheetId="5" state="visible" r:id="rId5"/>
    <sheet name="2023" sheetId="6" state="visible" r:id="rId6"/>
    <sheet name="2024" sheetId="7" state="visible" r:id="rId7"/>
    <sheet name="2025" sheetId="8" state="visible" r:id="rId8"/>
    <sheet name="2026" sheetId="9" state="visible" r:id="rId9"/>
  </sheets>
  <definedNames>
    <definedName name="_xlnm._FilterDatabase" localSheetId="0" hidden="1">'05.07 - 05.09'!$B$2:$P$59</definedName>
    <definedName name="_xlnm._FilterDatabase" localSheetId="1" hidden="1">'06.09 - 30.11'!$B$2:$P$56</definedName>
    <definedName name="_xlnm._FilterDatabase" localSheetId="2" hidden="1">'01.12 - 31.12'!$B$2:$P$37</definedName>
    <definedName name="_xlnm._FilterDatabase" localSheetId="3" hidden="1">'2021'!$B$3:$P$131</definedName>
    <definedName name="_xlnm._FilterDatabase" localSheetId="4" hidden="1">'2022'!$B$3:$P$783</definedName>
    <definedName name="_xlnm._FilterDatabase" localSheetId="5" hidden="1">'2023'!$A$3:$O$715</definedName>
    <definedName name="_xlnm._FilterDatabase" localSheetId="6" hidden="1">'2024'!$A$3:$K$244</definedName>
    <definedName name="_xlnm._FilterDatabase" localSheetId="7" hidden="1">'2025'!$A$3:$I$248</definedName>
    <definedName name="_xlnm._FilterDatabase" localSheetId="8" hidden="1">'2026'!$A$3:$I$254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"/>
    <numFmt numFmtId="165" formatCode="_-* #,##0.00_-;\-* #,##0.00_-;_-* &quot;-&quot;??_-;_-@"/>
    <numFmt numFmtId="166" formatCode="&quot;R$&quot;\ #,##0.00"/>
  </numFmts>
  <fonts count="35">
    <font>
      <name val="Calibri"/>
      <color theme="1"/>
      <sz val="12"/>
      <scheme val="minor"/>
    </font>
    <font>
      <name val="Calibri"/>
      <color theme="1"/>
      <sz val="12"/>
    </font>
    <font>
      <name val="Poppins"/>
      <b val="1"/>
      <color theme="1"/>
      <sz val="12"/>
    </font>
    <font>
      <name val="Calibri"/>
      <b val="1"/>
      <color theme="1"/>
      <sz val="12"/>
    </font>
    <font>
      <name val="Calibri"/>
      <color theme="10"/>
      <sz val="12"/>
      <u val="single"/>
    </font>
    <font>
      <name val="Calibri"/>
      <color theme="10"/>
      <sz val="12"/>
    </font>
    <font>
      <name val="Poppins"/>
      <b val="1"/>
      <color theme="0"/>
      <sz val="16"/>
    </font>
    <font/>
    <font>
      <name val="Calibri"/>
      <color theme="10"/>
      <sz val="12"/>
      <u val="single"/>
    </font>
    <font>
      <name val="Calibri"/>
      <color theme="10"/>
      <sz val="12"/>
      <u val="single"/>
    </font>
    <font>
      <name val="Calibri"/>
      <color theme="10"/>
      <sz val="12"/>
      <u val="single"/>
    </font>
    <font>
      <name val="Calibri"/>
      <color theme="10"/>
      <sz val="12"/>
      <u val="single"/>
    </font>
    <font>
      <name val="Calibri"/>
      <color theme="10"/>
      <sz val="12"/>
      <u val="single"/>
    </font>
    <font>
      <name val="Calibri"/>
      <color theme="10"/>
      <sz val="12"/>
      <u val="single"/>
    </font>
    <font>
      <name val="Calibri"/>
      <color theme="10"/>
      <sz val="12"/>
      <u val="single"/>
    </font>
    <font>
      <name val="Calibri"/>
      <color theme="10"/>
      <sz val="12"/>
      <u val="single"/>
    </font>
    <font>
      <name val="Calibri"/>
      <color theme="10"/>
      <sz val="12"/>
      <u val="single"/>
    </font>
    <font>
      <name val="Poppins"/>
      <b val="1"/>
      <color theme="1"/>
      <sz val="8"/>
    </font>
    <font>
      <name val="Poppins"/>
      <b val="1"/>
      <color theme="1"/>
      <sz val="10"/>
    </font>
    <font>
      <name val="Calibri"/>
      <color rgb="FFFF0000"/>
      <sz val="12"/>
    </font>
    <font>
      <name val="Calibri"/>
      <color rgb="FFC00000"/>
      <sz val="11"/>
    </font>
    <font>
      <name val="Calibri"/>
      <color theme="1"/>
      <sz val="11"/>
    </font>
    <font>
      <name val="Arial"/>
      <color rgb="FF636E7B"/>
      <sz val="9"/>
    </font>
    <font>
      <name val="Calibri"/>
      <color rgb="FFC00000"/>
      <sz val="12"/>
    </font>
    <font>
      <name val="Calibri"/>
      <b val="1"/>
      <color theme="1"/>
      <sz val="11"/>
    </font>
    <font>
      <name val="Calibri"/>
      <color rgb="FF222222"/>
      <sz val="11"/>
    </font>
    <font>
      <name val="Calibri"/>
      <color theme="10"/>
      <sz val="12"/>
      <u val="single"/>
    </font>
    <font>
      <name val="Calibri"/>
      <color theme="1"/>
      <sz val="10"/>
    </font>
    <font>
      <name val="Calibri"/>
      <color theme="10"/>
      <sz val="12"/>
      <u val="single"/>
    </font>
    <font>
      <name val="Calibri"/>
      <color theme="10"/>
      <sz val="12"/>
      <u val="single"/>
    </font>
    <font>
      <name val="Calibri"/>
      <i val="1"/>
      <color theme="1"/>
      <sz val="12"/>
    </font>
    <font>
      <name val="Calibri"/>
      <color rgb="FF1F1F1F"/>
      <sz val="12"/>
    </font>
    <font>
      <name val="Calibri"/>
      <color theme="10"/>
      <sz val="12"/>
      <u val="single"/>
    </font>
    <font>
      <name val="Calibri"/>
      <color rgb="FF000000"/>
      <sz val="11"/>
    </font>
    <font>
      <name val="Calibri"/>
      <color rgb="FF1F1F1F"/>
      <sz val="11"/>
    </font>
  </fonts>
  <fills count="16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50">
    <border/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 style="thin">
        <color rgb="FF7F7F7F"/>
      </bottom>
    </border>
    <border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right/>
      <top/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/>
      <right style="thin">
        <color rgb="FF7F7F7F"/>
      </right>
      <top style="thin">
        <color rgb="FF7F7F7F"/>
      </top>
    </border>
    <border>
      <left/>
      <right style="thin">
        <color rgb="FF7F7F7F"/>
      </right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7F7F7F"/>
      </left>
      <top style="thin">
        <color rgb="FF7F7F7F"/>
      </top>
    </border>
    <border>
      <left style="thin">
        <color rgb="FF7F7F7F"/>
      </left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</border>
    <border>
      <left style="thin">
        <color rgb="FF7F7F7F"/>
      </left>
    </border>
    <border>
      <left/>
      <right style="thin">
        <color rgb="FF7F7F7F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 style="thin">
        <color rgb="FF7F7F7F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7F7F7F"/>
      </right>
    </border>
    <border>
      <right style="thin">
        <color rgb="FF7F7F7F"/>
      </right>
      <bottom style="thin">
        <color rgb="FF7F7F7F"/>
      </bottom>
    </border>
    <border>
      <left/>
      <right/>
      <top/>
      <bottom style="thin">
        <color rgb="FF7F7F7F"/>
      </bottom>
    </border>
    <border>
      <bottom style="thin">
        <color rgb="FF7F7F7F"/>
      </bottom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000000"/>
      </left>
    </border>
  </borders>
  <cellStyleXfs count="1">
    <xf numFmtId="0" fontId="0" fillId="0" borderId="0"/>
  </cellStyleXfs>
  <cellXfs count="3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4" fontId="1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1" fillId="2" borderId="2" applyAlignment="1" pivotButton="0" quotePrefix="0" xfId="0">
      <alignment vertical="center" wrapText="1"/>
    </xf>
    <xf numFmtId="0" fontId="5" fillId="2" borderId="2" applyAlignment="1" pivotButton="0" quotePrefix="0" xfId="0">
      <alignment vertical="center"/>
    </xf>
    <xf numFmtId="0" fontId="6" fillId="4" borderId="3" applyAlignment="1" pivotButton="0" quotePrefix="0" xfId="0">
      <alignment horizontal="center" vertical="center"/>
    </xf>
    <xf numFmtId="0" fontId="7" fillId="0" borderId="4" pivotButton="0" quotePrefix="0" xfId="0"/>
    <xf numFmtId="164" fontId="3" fillId="2" borderId="5" applyAlignment="1" pivotButton="0" quotePrefix="0" xfId="0">
      <alignment horizontal="center" vertical="center"/>
    </xf>
    <xf numFmtId="14" fontId="1" fillId="2" borderId="5" applyAlignment="1" pivotButton="0" quotePrefix="0" xfId="0">
      <alignment horizontal="center" vertical="center"/>
    </xf>
    <xf numFmtId="0" fontId="7" fillId="0" borderId="6" pivotButton="0" quotePrefix="0" xfId="0"/>
    <xf numFmtId="0" fontId="1" fillId="2" borderId="5" applyAlignment="1" pivotButton="0" quotePrefix="0" xfId="0">
      <alignment horizontal="center" vertical="center"/>
    </xf>
    <xf numFmtId="0" fontId="1" fillId="2" borderId="5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14" fontId="1" fillId="2" borderId="5" applyAlignment="1" pivotButton="0" quotePrefix="0" xfId="0">
      <alignment horizontal="left" vertical="center"/>
    </xf>
    <xf numFmtId="0" fontId="7" fillId="0" borderId="7" pivotButton="0" quotePrefix="0" xfId="0"/>
    <xf numFmtId="14" fontId="5" fillId="2" borderId="5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center"/>
    </xf>
    <xf numFmtId="0" fontId="7" fillId="0" borderId="8" pivotButton="0" quotePrefix="0" xfId="0"/>
    <xf numFmtId="0" fontId="1" fillId="2" borderId="9" applyAlignment="1" pivotButton="0" quotePrefix="0" xfId="0">
      <alignment horizontal="center" vertical="center"/>
    </xf>
    <xf numFmtId="14" fontId="8" fillId="2" borderId="5" applyAlignment="1" pivotButton="0" quotePrefix="0" xfId="0">
      <alignment horizontal="left" vertical="center"/>
    </xf>
    <xf numFmtId="164" fontId="1" fillId="2" borderId="1" applyAlignment="1" pivotButton="0" quotePrefix="0" xfId="0">
      <alignment vertical="center"/>
    </xf>
    <xf numFmtId="0" fontId="9" fillId="2" borderId="1" applyAlignment="1" pivotButton="0" quotePrefix="0" xfId="0">
      <alignment vertical="center"/>
    </xf>
    <xf numFmtId="0" fontId="1" fillId="2" borderId="5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" fillId="2" borderId="10" applyAlignment="1" pivotButton="0" quotePrefix="0" xfId="0">
      <alignment vertical="center"/>
    </xf>
    <xf numFmtId="0" fontId="11" fillId="2" borderId="5" applyAlignment="1" pivotButton="0" quotePrefix="0" xfId="0">
      <alignment horizontal="left" vertical="center"/>
    </xf>
    <xf numFmtId="0" fontId="5" fillId="2" borderId="10" applyAlignment="1" pivotButton="0" quotePrefix="0" xfId="0">
      <alignment vertical="center"/>
    </xf>
    <xf numFmtId="14" fontId="1" fillId="2" borderId="10" applyAlignment="1" pivotButton="0" quotePrefix="0" xfId="0">
      <alignment vertical="center"/>
    </xf>
    <xf numFmtId="14" fontId="5" fillId="2" borderId="10" applyAlignment="1" pivotButton="0" quotePrefix="0" xfId="0">
      <alignment vertical="center"/>
    </xf>
    <xf numFmtId="0" fontId="5" fillId="2" borderId="5" applyAlignment="1" pivotButton="0" quotePrefix="0" xfId="0">
      <alignment horizontal="center" vertical="center"/>
    </xf>
    <xf numFmtId="0" fontId="12" fillId="2" borderId="10" applyAlignment="1" pivotButton="0" quotePrefix="0" xfId="0">
      <alignment vertical="center"/>
    </xf>
    <xf numFmtId="14" fontId="13" fillId="2" borderId="10" applyAlignment="1" pivotButton="0" quotePrefix="0" xfId="0">
      <alignment vertical="center"/>
    </xf>
    <xf numFmtId="0" fontId="14" fillId="2" borderId="5" applyAlignment="1" pivotButton="0" quotePrefix="0" xfId="0">
      <alignment horizontal="center" vertical="center"/>
    </xf>
    <xf numFmtId="14" fontId="1" fillId="2" borderId="11" applyAlignment="1" pivotButton="0" quotePrefix="0" xfId="0">
      <alignment horizontal="center" vertical="center"/>
    </xf>
    <xf numFmtId="0" fontId="7" fillId="0" borderId="12" pivotButton="0" quotePrefix="0" xfId="0"/>
    <xf numFmtId="0" fontId="2" fillId="2" borderId="13" applyAlignment="1" pivotButton="0" quotePrefix="0" xfId="0">
      <alignment horizontal="center"/>
    </xf>
    <xf numFmtId="0" fontId="7" fillId="0" borderId="14" pivotButton="0" quotePrefix="0" xfId="0"/>
    <xf numFmtId="0" fontId="7" fillId="0" borderId="15" pivotButton="0" quotePrefix="0" xfId="0"/>
    <xf numFmtId="164" fontId="2" fillId="2" borderId="2" pivotButton="0" quotePrefix="0" xfId="0"/>
    <xf numFmtId="0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4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3" fillId="0" borderId="5" applyAlignment="1" pivotButton="0" quotePrefix="0" xfId="0">
      <alignment horizontal="center" vertical="center"/>
    </xf>
    <xf numFmtId="14" fontId="1" fillId="0" borderId="5" applyAlignment="1" pivotButton="0" quotePrefix="0" xfId="0">
      <alignment horizontal="center" vertical="center"/>
    </xf>
    <xf numFmtId="14" fontId="1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6" fillId="4" borderId="16" applyAlignment="1" pivotButton="0" quotePrefix="0" xfId="0">
      <alignment horizontal="center" vertical="center"/>
    </xf>
    <xf numFmtId="0" fontId="7" fillId="0" borderId="17" pivotButton="0" quotePrefix="0" xfId="0"/>
    <xf numFmtId="0" fontId="7" fillId="0" borderId="18" pivotButton="0" quotePrefix="0" xfId="0"/>
    <xf numFmtId="0" fontId="2" fillId="3" borderId="1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1" fillId="2" borderId="19" applyAlignment="1" pivotButton="0" quotePrefix="0" xfId="0">
      <alignment vertical="center"/>
    </xf>
    <xf numFmtId="0" fontId="1" fillId="2" borderId="19" applyAlignment="1" pivotButton="0" quotePrefix="0" xfId="0">
      <alignment horizontal="center" vertical="center"/>
    </xf>
    <xf numFmtId="164" fontId="1" fillId="2" borderId="19" applyAlignment="1" pivotButton="0" quotePrefix="0" xfId="0">
      <alignment horizontal="center" vertical="center"/>
    </xf>
    <xf numFmtId="164" fontId="3" fillId="0" borderId="19" applyAlignment="1" pivotButton="0" quotePrefix="0" xfId="0">
      <alignment horizontal="center" vertical="center"/>
    </xf>
    <xf numFmtId="14" fontId="1" fillId="0" borderId="19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19" applyAlignment="1" pivotButton="0" quotePrefix="0" xfId="0">
      <alignment vertical="center"/>
    </xf>
    <xf numFmtId="0" fontId="15" fillId="2" borderId="19" applyAlignment="1" pivotButton="0" quotePrefix="0" xfId="0">
      <alignment vertical="center"/>
    </xf>
    <xf numFmtId="0" fontId="1" fillId="2" borderId="19" applyAlignment="1" pivotButton="0" quotePrefix="0" xfId="0">
      <alignment vertical="center" wrapText="1"/>
    </xf>
    <xf numFmtId="0" fontId="1" fillId="0" borderId="19" pivotButton="0" quotePrefix="0" xfId="0"/>
    <xf numFmtId="164" fontId="1" fillId="0" borderId="19" pivotButton="0" quotePrefix="0" xfId="0"/>
    <xf numFmtId="0" fontId="1" fillId="0" borderId="0" applyAlignment="1" pivotButton="0" quotePrefix="0" xfId="0">
      <alignment horizontal="center" vertical="center"/>
    </xf>
    <xf numFmtId="14" fontId="1" fillId="0" borderId="5" applyAlignment="1" pivotButton="0" quotePrefix="0" xfId="0">
      <alignment horizontal="left" vertical="center" wrapText="1"/>
    </xf>
    <xf numFmtId="0" fontId="1" fillId="0" borderId="19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164" fontId="1" fillId="2" borderId="20" applyAlignment="1" pivotButton="0" quotePrefix="0" xfId="0">
      <alignment horizontal="center" vertical="center"/>
    </xf>
    <xf numFmtId="164" fontId="3" fillId="0" borderId="20" applyAlignment="1" pivotButton="0" quotePrefix="0" xfId="0">
      <alignment horizontal="center" vertical="center"/>
    </xf>
    <xf numFmtId="14" fontId="1" fillId="0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/>
    </xf>
    <xf numFmtId="0" fontId="7" fillId="0" borderId="21" pivotButton="0" quotePrefix="0" xfId="0"/>
    <xf numFmtId="0" fontId="1" fillId="0" borderId="20" applyAlignment="1" pivotButton="0" quotePrefix="0" xfId="0">
      <alignment horizontal="center" vertical="center"/>
    </xf>
    <xf numFmtId="164" fontId="1" fillId="0" borderId="19" applyAlignment="1" pivotButton="0" quotePrefix="0" xfId="0">
      <alignment horizontal="center" vertical="center"/>
    </xf>
    <xf numFmtId="164" fontId="1" fillId="0" borderId="20" applyAlignment="1" pivotButton="0" quotePrefix="0" xfId="0">
      <alignment horizontal="center"/>
    </xf>
    <xf numFmtId="164" fontId="1" fillId="0" borderId="20" applyAlignment="1" pivotButton="0" quotePrefix="0" xfId="0">
      <alignment horizontal="center" vertical="center"/>
    </xf>
    <xf numFmtId="164" fontId="1" fillId="0" borderId="21" applyAlignment="1" pivotButton="0" quotePrefix="0" xfId="0">
      <alignment horizontal="center"/>
    </xf>
    <xf numFmtId="14" fontId="1" fillId="0" borderId="21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1" fillId="0" borderId="21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/>
    </xf>
    <xf numFmtId="14" fontId="1" fillId="0" borderId="22" applyAlignment="1" pivotButton="0" quotePrefix="0" xfId="0">
      <alignment horizontal="center" vertical="center"/>
    </xf>
    <xf numFmtId="14" fontId="1" fillId="0" borderId="20" applyAlignment="1" pivotButton="0" quotePrefix="0" xfId="0">
      <alignment horizontal="left" vertical="center"/>
    </xf>
    <xf numFmtId="0" fontId="7" fillId="0" borderId="23" pivotButton="0" quotePrefix="0" xfId="0"/>
    <xf numFmtId="14" fontId="1" fillId="0" borderId="20" applyAlignment="1" pivotButton="0" quotePrefix="0" xfId="0">
      <alignment horizontal="left" vertical="center" wrapText="1"/>
    </xf>
    <xf numFmtId="164" fontId="1" fillId="0" borderId="21" applyAlignment="1" pivotButton="0" quotePrefix="0" xfId="0">
      <alignment horizontal="center" vertical="center"/>
    </xf>
    <xf numFmtId="164" fontId="3" fillId="0" borderId="21" applyAlignment="1" pivotButton="0" quotePrefix="0" xfId="0">
      <alignment horizontal="center" vertical="center"/>
    </xf>
    <xf numFmtId="14" fontId="1" fillId="0" borderId="13" applyAlignment="1" pivotButton="0" quotePrefix="0" xfId="0">
      <alignment horizontal="center" vertical="center"/>
    </xf>
    <xf numFmtId="0" fontId="16" fillId="2" borderId="2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7" fillId="3" borderId="19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19" applyAlignment="1" pivotButton="0" quotePrefix="0" xfId="0">
      <alignment horizontal="left" vertical="center"/>
    </xf>
    <xf numFmtId="0" fontId="18" fillId="0" borderId="19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164" fontId="1" fillId="0" borderId="20" pivotButton="0" quotePrefix="0" xfId="0"/>
    <xf numFmtId="165" fontId="1" fillId="2" borderId="19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19" applyAlignment="1" pivotButton="0" quotePrefix="0" xfId="0">
      <alignment horizontal="left" vertical="center"/>
    </xf>
    <xf numFmtId="0" fontId="19" fillId="2" borderId="2" applyAlignment="1" pivotButton="0" quotePrefix="0" xfId="0">
      <alignment vertical="center"/>
    </xf>
    <xf numFmtId="0" fontId="19" fillId="0" borderId="19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7" fillId="0" borderId="25" pivotButton="0" quotePrefix="0" xfId="0"/>
    <xf numFmtId="164" fontId="1" fillId="0" borderId="19" applyAlignment="1" pivotButton="0" quotePrefix="0" xfId="0">
      <alignment horizontal="center"/>
    </xf>
    <xf numFmtId="0" fontId="1" fillId="0" borderId="19" applyAlignment="1" pivotButton="0" quotePrefix="0" xfId="0">
      <alignment horizontal="left"/>
    </xf>
    <xf numFmtId="164" fontId="3" fillId="0" borderId="25" applyAlignment="1" pivotButton="0" quotePrefix="0" xfId="0">
      <alignment horizontal="center" vertical="center"/>
    </xf>
    <xf numFmtId="14" fontId="1" fillId="0" borderId="25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164" fontId="1" fillId="0" borderId="25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/>
    </xf>
    <xf numFmtId="0" fontId="7" fillId="0" borderId="26" pivotButton="0" quotePrefix="0" xfId="0"/>
    <xf numFmtId="0" fontId="7" fillId="0" borderId="27" pivotButton="0" quotePrefix="0" xfId="0"/>
    <xf numFmtId="0" fontId="19" fillId="0" borderId="2" applyAlignment="1" pivotButton="0" quotePrefix="0" xfId="0">
      <alignment horizontal="center" vertical="center"/>
    </xf>
    <xf numFmtId="0" fontId="1" fillId="5" borderId="19" pivotButton="0" quotePrefix="0" xfId="0"/>
    <xf numFmtId="0" fontId="1" fillId="0" borderId="19" applyAlignment="1" pivotButton="0" quotePrefix="0" xfId="0">
      <alignment vertical="center" wrapText="1"/>
    </xf>
    <xf numFmtId="165" fontId="1" fillId="0" borderId="19" applyAlignment="1" pivotButton="0" quotePrefix="0" xfId="0">
      <alignment horizontal="center" vertical="center"/>
    </xf>
    <xf numFmtId="0" fontId="20" fillId="2" borderId="2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/>
    </xf>
    <xf numFmtId="165" fontId="1" fillId="0" borderId="2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22" fillId="0" borderId="0" pivotButton="0" quotePrefix="0" xfId="0"/>
    <xf numFmtId="0" fontId="21" fillId="0" borderId="19" pivotButton="0" quotePrefix="0" xfId="0"/>
    <xf numFmtId="164" fontId="1" fillId="2" borderId="24" applyAlignment="1" pivotButton="0" quotePrefix="0" xfId="0">
      <alignment horizontal="center" vertical="center"/>
    </xf>
    <xf numFmtId="165" fontId="1" fillId="0" borderId="21" applyAlignment="1" pivotButton="0" quotePrefix="0" xfId="0">
      <alignment horizontal="center" vertical="center"/>
    </xf>
    <xf numFmtId="0" fontId="1" fillId="2" borderId="9" applyAlignment="1" pivotButton="0" quotePrefix="0" xfId="0">
      <alignment vertical="center"/>
    </xf>
    <xf numFmtId="14" fontId="1" fillId="0" borderId="20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14" fontId="1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3" fillId="2" borderId="2" applyAlignment="1" pivotButton="0" quotePrefix="0" xfId="0">
      <alignment vertical="center"/>
    </xf>
    <xf numFmtId="164" fontId="1" fillId="2" borderId="10" applyAlignment="1" pivotButton="0" quotePrefix="0" xfId="0">
      <alignment horizontal="center" vertical="center"/>
    </xf>
    <xf numFmtId="0" fontId="24" fillId="0" borderId="19" pivotButton="0" quotePrefix="0" xfId="0"/>
    <xf numFmtId="164" fontId="1" fillId="0" borderId="21" pivotButton="0" quotePrefix="0" xfId="0"/>
    <xf numFmtId="164" fontId="1" fillId="2" borderId="19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164" fontId="1" fillId="2" borderId="9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1" fillId="5" borderId="28" applyAlignment="1" pivotButton="0" quotePrefix="0" xfId="0">
      <alignment horizontal="center"/>
    </xf>
    <xf numFmtId="166" fontId="1" fillId="2" borderId="19" applyAlignment="1" pivotButton="0" quotePrefix="0" xfId="0">
      <alignment horizontal="right" vertical="center"/>
    </xf>
    <xf numFmtId="0" fontId="1" fillId="6" borderId="28" applyAlignment="1" pivotButton="0" quotePrefix="0" xfId="0">
      <alignment horizontal="left"/>
    </xf>
    <xf numFmtId="0" fontId="1" fillId="6" borderId="19" applyAlignment="1" pivotButton="0" quotePrefix="0" xfId="0">
      <alignment horizontal="left"/>
    </xf>
    <xf numFmtId="164" fontId="1" fillId="2" borderId="10" applyAlignment="1" pivotButton="0" quotePrefix="0" xfId="0">
      <alignment vertical="center"/>
    </xf>
    <xf numFmtId="164" fontId="1" fillId="2" borderId="9" applyAlignment="1" pivotButton="0" quotePrefix="0" xfId="0">
      <alignment vertical="center"/>
    </xf>
    <xf numFmtId="164" fontId="1" fillId="2" borderId="1" applyAlignment="1" pivotButton="0" quotePrefix="0" xfId="0">
      <alignment horizontal="center" vertical="center"/>
    </xf>
    <xf numFmtId="164" fontId="1" fillId="2" borderId="29" applyAlignment="1" pivotButton="0" quotePrefix="0" xfId="0">
      <alignment horizontal="center" vertical="center"/>
    </xf>
    <xf numFmtId="0" fontId="25" fillId="0" borderId="0" pivotButton="0" quotePrefix="0" xfId="0"/>
    <xf numFmtId="0" fontId="5" fillId="2" borderId="30" applyAlignment="1" pivotButton="0" quotePrefix="0" xfId="0">
      <alignment vertical="center"/>
    </xf>
    <xf numFmtId="0" fontId="1" fillId="0" borderId="19" applyAlignment="1" pivotButton="0" quotePrefix="0" xfId="0">
      <alignment horizontal="center"/>
    </xf>
    <xf numFmtId="164" fontId="1" fillId="2" borderId="31" applyAlignment="1" pivotButton="0" quotePrefix="0" xfId="0">
      <alignment vertical="center"/>
    </xf>
    <xf numFmtId="0" fontId="25" fillId="0" borderId="20" applyAlignment="1" pivotButton="0" quotePrefix="0" xfId="0">
      <alignment horizontal="center"/>
    </xf>
    <xf numFmtId="14" fontId="1" fillId="0" borderId="32" applyAlignment="1" pivotButton="0" quotePrefix="0" xfId="0">
      <alignment horizontal="center" vertical="center"/>
    </xf>
    <xf numFmtId="0" fontId="26" fillId="2" borderId="33" applyAlignment="1" pivotButton="0" quotePrefix="0" xfId="0">
      <alignment vertical="center"/>
    </xf>
    <xf numFmtId="0" fontId="1" fillId="2" borderId="20" applyAlignment="1" pivotButton="0" quotePrefix="0" xfId="0">
      <alignment horizontal="center" vertical="center"/>
    </xf>
    <xf numFmtId="164" fontId="1" fillId="5" borderId="19" applyAlignment="1" pivotButton="0" quotePrefix="0" xfId="0">
      <alignment horizontal="center" vertical="center"/>
    </xf>
    <xf numFmtId="164" fontId="1" fillId="2" borderId="28" applyAlignment="1" pivotButton="0" quotePrefix="0" xfId="0">
      <alignment vertical="center"/>
    </xf>
    <xf numFmtId="0" fontId="7" fillId="0" borderId="34" pivotButton="0" quotePrefix="0" xfId="0"/>
    <xf numFmtId="14" fontId="1" fillId="0" borderId="35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/>
    </xf>
    <xf numFmtId="0" fontId="21" fillId="0" borderId="19" applyAlignment="1" pivotButton="0" quotePrefix="0" xfId="0">
      <alignment horizontal="center"/>
    </xf>
    <xf numFmtId="0" fontId="25" fillId="0" borderId="19" pivotButton="0" quotePrefix="0" xfId="0"/>
    <xf numFmtId="164" fontId="1" fillId="2" borderId="28" applyAlignment="1" pivotButton="0" quotePrefix="0" xfId="0">
      <alignment horizontal="center" vertical="center"/>
    </xf>
    <xf numFmtId="165" fontId="1" fillId="0" borderId="25" applyAlignment="1" pivotButton="0" quotePrefix="0" xfId="0">
      <alignment horizontal="center" vertical="center"/>
    </xf>
    <xf numFmtId="164" fontId="1" fillId="2" borderId="31" applyAlignment="1" pivotButton="0" quotePrefix="0" xfId="0">
      <alignment horizontal="center" vertical="center"/>
    </xf>
    <xf numFmtId="0" fontId="21" fillId="0" borderId="20" pivotButton="0" quotePrefix="0" xfId="0"/>
    <xf numFmtId="16" fontId="1" fillId="0" borderId="20" applyAlignment="1" pivotButton="0" quotePrefix="0" xfId="0">
      <alignment horizontal="center"/>
    </xf>
    <xf numFmtId="14" fontId="1" fillId="0" borderId="25" applyAlignment="1" pivotButton="0" quotePrefix="0" xfId="0">
      <alignment horizontal="right" vertical="center"/>
    </xf>
    <xf numFmtId="16" fontId="1" fillId="0" borderId="19" pivotButton="0" quotePrefix="0" xfId="0"/>
    <xf numFmtId="14" fontId="1" fillId="0" borderId="20" applyAlignment="1" pivotButton="0" quotePrefix="0" xfId="0">
      <alignment horizontal="right" vertical="center"/>
    </xf>
    <xf numFmtId="14" fontId="1" fillId="0" borderId="19" pivotButton="0" quotePrefix="0" xfId="0"/>
    <xf numFmtId="164" fontId="1" fillId="2" borderId="19" applyAlignment="1" pivotButton="0" quotePrefix="0" xfId="0">
      <alignment horizontal="right" vertical="center"/>
    </xf>
    <xf numFmtId="14" fontId="1" fillId="0" borderId="20" applyAlignment="1" pivotButton="0" quotePrefix="0" xfId="0">
      <alignment horizontal="center"/>
    </xf>
    <xf numFmtId="0" fontId="21" fillId="0" borderId="21" applyAlignment="1" pivotButton="0" quotePrefix="0" xfId="0">
      <alignment horizontal="center"/>
    </xf>
    <xf numFmtId="14" fontId="1" fillId="0" borderId="21" applyAlignment="1" pivotButton="0" quotePrefix="0" xfId="0">
      <alignment horizontal="center"/>
    </xf>
    <xf numFmtId="0" fontId="27" fillId="0" borderId="19" pivotButton="0" quotePrefix="0" xfId="0"/>
    <xf numFmtId="14" fontId="1" fillId="0" borderId="21" applyAlignment="1" pivotButton="0" quotePrefix="0" xfId="0">
      <alignment horizontal="right"/>
    </xf>
    <xf numFmtId="0" fontId="1" fillId="6" borderId="1" applyAlignment="1" pivotButton="0" quotePrefix="0" xfId="0">
      <alignment horizontal="left"/>
    </xf>
    <xf numFmtId="0" fontId="21" fillId="0" borderId="25" applyAlignment="1" pivotButton="0" quotePrefix="0" xfId="0">
      <alignment horizontal="center"/>
    </xf>
    <xf numFmtId="14" fontId="1" fillId="0" borderId="19" applyAlignment="1" pivotButton="0" quotePrefix="0" xfId="0">
      <alignment horizontal="center"/>
    </xf>
    <xf numFmtId="0" fontId="1" fillId="0" borderId="21" applyAlignment="1" pivotButton="0" quotePrefix="0" xfId="0">
      <alignment horizontal="left" vertical="center"/>
    </xf>
    <xf numFmtId="165" fontId="1" fillId="2" borderId="28" applyAlignment="1" pivotButton="0" quotePrefix="0" xfId="0">
      <alignment horizontal="center" vertical="center"/>
    </xf>
    <xf numFmtId="14" fontId="1" fillId="0" borderId="25" applyAlignment="1" pivotButton="0" quotePrefix="0" xfId="0">
      <alignment horizontal="right"/>
    </xf>
    <xf numFmtId="0" fontId="1" fillId="0" borderId="21" pivotButton="0" quotePrefix="0" xfId="0"/>
    <xf numFmtId="0" fontId="21" fillId="2" borderId="19" pivotButton="0" quotePrefix="0" xfId="0"/>
    <xf numFmtId="0" fontId="21" fillId="2" borderId="19" applyAlignment="1" pivotButton="0" quotePrefix="0" xfId="0">
      <alignment wrapText="1"/>
    </xf>
    <xf numFmtId="14" fontId="1" fillId="2" borderId="28" applyAlignment="1" pivotButton="0" quotePrefix="0" xfId="0">
      <alignment horizontal="center"/>
    </xf>
    <xf numFmtId="0" fontId="1" fillId="7" borderId="28" applyAlignment="1" pivotButton="0" quotePrefix="0" xfId="0">
      <alignment horizontal="left"/>
    </xf>
    <xf numFmtId="0" fontId="1" fillId="7" borderId="19" applyAlignment="1" pivotButton="0" quotePrefix="0" xfId="0">
      <alignment horizontal="left"/>
    </xf>
    <xf numFmtId="0" fontId="1" fillId="2" borderId="28" applyAlignment="1" pivotButton="0" quotePrefix="0" xfId="0">
      <alignment horizontal="center"/>
    </xf>
    <xf numFmtId="0" fontId="1" fillId="2" borderId="28" applyAlignment="1" pivotButton="0" quotePrefix="0" xfId="0">
      <alignment horizontal="left"/>
    </xf>
    <xf numFmtId="14" fontId="1" fillId="2" borderId="19" applyAlignment="1" pivotButton="0" quotePrefix="0" xfId="0">
      <alignment horizontal="center"/>
    </xf>
    <xf numFmtId="0" fontId="1" fillId="2" borderId="19" pivotButton="0" quotePrefix="0" xfId="0"/>
    <xf numFmtId="0" fontId="1" fillId="2" borderId="19" applyAlignment="1" pivotButton="0" quotePrefix="0" xfId="0">
      <alignment horizontal="left"/>
    </xf>
    <xf numFmtId="14" fontId="1" fillId="5" borderId="28" applyAlignment="1" pivotButton="0" quotePrefix="0" xfId="0">
      <alignment horizontal="center"/>
    </xf>
    <xf numFmtId="14" fontId="1" fillId="5" borderId="20" applyAlignment="1" pivotButton="0" quotePrefix="0" xfId="0">
      <alignment horizontal="center"/>
    </xf>
    <xf numFmtId="0" fontId="1" fillId="5" borderId="20" applyAlignment="1" pivotButton="0" quotePrefix="0" xfId="0">
      <alignment horizontal="center"/>
    </xf>
    <xf numFmtId="164" fontId="1" fillId="2" borderId="36" applyAlignment="1" pivotButton="0" quotePrefix="0" xfId="0">
      <alignment horizontal="center" vertical="center"/>
    </xf>
    <xf numFmtId="14" fontId="1" fillId="5" borderId="19" applyAlignment="1" pivotButton="0" quotePrefix="0" xfId="0">
      <alignment horizontal="center"/>
    </xf>
    <xf numFmtId="165" fontId="1" fillId="0" borderId="19" pivotButton="0" quotePrefix="0" xfId="0"/>
    <xf numFmtId="0" fontId="1" fillId="5" borderId="19" applyAlignment="1" pivotButton="0" quotePrefix="0" xfId="0">
      <alignment horizontal="center"/>
    </xf>
    <xf numFmtId="164" fontId="1" fillId="5" borderId="19" applyAlignment="1" pivotButton="0" quotePrefix="0" xfId="0">
      <alignment horizontal="left"/>
    </xf>
    <xf numFmtId="165" fontId="1" fillId="5" borderId="19" applyAlignment="1" pivotButton="0" quotePrefix="0" xfId="0">
      <alignment horizontal="center"/>
    </xf>
    <xf numFmtId="164" fontId="1" fillId="6" borderId="19" applyAlignment="1" pivotButton="0" quotePrefix="0" xfId="0">
      <alignment horizontal="left"/>
    </xf>
    <xf numFmtId="14" fontId="21" fillId="0" borderId="19" applyAlignment="1" pivotButton="0" quotePrefix="0" xfId="0">
      <alignment horizontal="right"/>
    </xf>
    <xf numFmtId="0" fontId="24" fillId="2" borderId="19" pivotButton="0" quotePrefix="0" xfId="0"/>
    <xf numFmtId="0" fontId="5" fillId="2" borderId="33" applyAlignment="1" pivotButton="0" quotePrefix="0" xfId="0">
      <alignment vertical="center"/>
    </xf>
    <xf numFmtId="165" fontId="1" fillId="0" borderId="20" pivotButton="0" quotePrefix="0" xfId="0"/>
    <xf numFmtId="14" fontId="1" fillId="0" borderId="20" pivotButton="0" quotePrefix="0" xfId="0"/>
    <xf numFmtId="0" fontId="1" fillId="5" borderId="1" pivotButton="0" quotePrefix="0" xfId="0"/>
    <xf numFmtId="0" fontId="1" fillId="8" borderId="19" applyAlignment="1" pivotButton="0" quotePrefix="0" xfId="0">
      <alignment horizontal="left"/>
    </xf>
    <xf numFmtId="0" fontId="1" fillId="8" borderId="19" pivotButton="0" quotePrefix="0" xfId="0"/>
    <xf numFmtId="0" fontId="1" fillId="8" borderId="19" applyAlignment="1" pivotButton="0" quotePrefix="0" xfId="0">
      <alignment horizontal="center"/>
    </xf>
    <xf numFmtId="164" fontId="3" fillId="5" borderId="19" applyAlignment="1" pivotButton="0" quotePrefix="0" xfId="0">
      <alignment horizontal="center" vertical="center"/>
    </xf>
    <xf numFmtId="0" fontId="1" fillId="9" borderId="19" pivotButton="0" quotePrefix="0" xfId="0"/>
    <xf numFmtId="0" fontId="1" fillId="0" borderId="25" pivotButton="0" quotePrefix="0" xfId="0"/>
    <xf numFmtId="165" fontId="1" fillId="0" borderId="0" pivotButton="0" quotePrefix="0" xfId="0"/>
    <xf numFmtId="165" fontId="1" fillId="0" borderId="35" pivotButton="0" quotePrefix="0" xfId="0"/>
    <xf numFmtId="165" fontId="1" fillId="0" borderId="37" pivotButton="0" quotePrefix="0" xfId="0"/>
    <xf numFmtId="165" fontId="1" fillId="0" borderId="32" pivotButton="0" quotePrefix="0" xfId="0"/>
    <xf numFmtId="0" fontId="1" fillId="0" borderId="19" pivotButton="0" quotePrefix="0" xfId="0"/>
    <xf numFmtId="0" fontId="1" fillId="0" borderId="19" applyAlignment="1" pivotButton="0" quotePrefix="0" xfId="0">
      <alignment horizontal="right"/>
    </xf>
    <xf numFmtId="164" fontId="3" fillId="10" borderId="20" applyAlignment="1" pivotButton="0" quotePrefix="0" xfId="0">
      <alignment horizontal="center" vertical="center"/>
    </xf>
    <xf numFmtId="164" fontId="3" fillId="10" borderId="19" applyAlignment="1" pivotButton="0" quotePrefix="0" xfId="0">
      <alignment horizontal="center" vertical="center"/>
    </xf>
    <xf numFmtId="14" fontId="1" fillId="10" borderId="28" applyAlignment="1" pivotButton="0" quotePrefix="0" xfId="0">
      <alignment horizontal="center"/>
    </xf>
    <xf numFmtId="0" fontId="1" fillId="10" borderId="28" applyAlignment="1" pivotButton="0" quotePrefix="0" xfId="0">
      <alignment horizontal="center"/>
    </xf>
    <xf numFmtId="14" fontId="1" fillId="10" borderId="20" applyAlignment="1" pivotButton="0" quotePrefix="0" xfId="0">
      <alignment horizontal="center"/>
    </xf>
    <xf numFmtId="0" fontId="1" fillId="10" borderId="20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1" fillId="0" borderId="19" applyAlignment="1" pivotButton="0" quotePrefix="0" xfId="0">
      <alignment wrapText="1"/>
    </xf>
    <xf numFmtId="1" fontId="21" fillId="0" borderId="19" applyAlignment="1" pivotButton="0" quotePrefix="0" xfId="0">
      <alignment horizontal="center"/>
    </xf>
    <xf numFmtId="164" fontId="21" fillId="0" borderId="19" applyAlignment="1" pivotButton="0" quotePrefix="0" xfId="0">
      <alignment horizontal="center"/>
    </xf>
    <xf numFmtId="165" fontId="1" fillId="0" borderId="19" pivotButton="0" quotePrefix="0" xfId="0"/>
    <xf numFmtId="164" fontId="1" fillId="8" borderId="19" applyAlignment="1" pivotButton="0" quotePrefix="0" xfId="0">
      <alignment horizontal="center" vertical="center"/>
    </xf>
    <xf numFmtId="0" fontId="1" fillId="10" borderId="19" applyAlignment="1" pivotButton="0" quotePrefix="0" xfId="0">
      <alignment horizontal="center"/>
    </xf>
    <xf numFmtId="164" fontId="3" fillId="5" borderId="20" applyAlignment="1" pivotButton="0" quotePrefix="0" xfId="0">
      <alignment horizontal="center" vertical="center"/>
    </xf>
    <xf numFmtId="14" fontId="1" fillId="6" borderId="19" applyAlignment="1" pivotButton="0" quotePrefix="0" xfId="0">
      <alignment horizontal="center" vertical="center"/>
    </xf>
    <xf numFmtId="0" fontId="1" fillId="6" borderId="19" applyAlignment="1" pivotButton="0" quotePrefix="0" xfId="0">
      <alignment horizontal="center" vertical="center"/>
    </xf>
    <xf numFmtId="0" fontId="1" fillId="11" borderId="1" pivotButton="0" quotePrefix="0" xfId="0"/>
    <xf numFmtId="164" fontId="3" fillId="10" borderId="31" applyAlignment="1" pivotButton="0" quotePrefix="0" xfId="0">
      <alignment horizontal="center" vertical="center"/>
    </xf>
    <xf numFmtId="14" fontId="1" fillId="10" borderId="36" applyAlignment="1" pivotButton="0" quotePrefix="0" xfId="0">
      <alignment horizontal="center"/>
    </xf>
    <xf numFmtId="0" fontId="1" fillId="10" borderId="36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8" fillId="0" borderId="37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14" fontId="1" fillId="0" borderId="0" applyAlignment="1" pivotButton="0" quotePrefix="0" xfId="0">
      <alignment horizontal="center"/>
    </xf>
    <xf numFmtId="0" fontId="7" fillId="0" borderId="38" pivotButton="0" quotePrefix="0" xfId="0"/>
    <xf numFmtId="164" fontId="3" fillId="10" borderId="28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1" applyAlignment="1" pivotButton="0" quotePrefix="0" xfId="0">
      <alignment horizontal="center" vertical="center"/>
    </xf>
    <xf numFmtId="0" fontId="25" fillId="0" borderId="20" pivotButton="0" quotePrefix="0" xfId="0"/>
    <xf numFmtId="0" fontId="1" fillId="0" borderId="20" applyAlignment="1" pivotButton="0" quotePrefix="0" xfId="0">
      <alignment vertical="center"/>
    </xf>
    <xf numFmtId="0" fontId="29" fillId="2" borderId="39" applyAlignment="1" pivotButton="0" quotePrefix="0" xfId="0">
      <alignment vertical="center"/>
    </xf>
    <xf numFmtId="164" fontId="1" fillId="12" borderId="19" applyAlignment="1" pivotButton="0" quotePrefix="0" xfId="0">
      <alignment horizontal="center" vertical="center"/>
    </xf>
    <xf numFmtId="164" fontId="1" fillId="5" borderId="19" applyAlignment="1" pivotButton="0" quotePrefix="0" xfId="0">
      <alignment horizontal="right" vertical="center"/>
    </xf>
    <xf numFmtId="164" fontId="1" fillId="2" borderId="19" pivotButton="0" quotePrefix="0" xfId="0"/>
    <xf numFmtId="164" fontId="1" fillId="2" borderId="28" applyAlignment="1" pivotButton="0" quotePrefix="0" xfId="0">
      <alignment horizontal="center"/>
    </xf>
    <xf numFmtId="0" fontId="1" fillId="2" borderId="19" applyAlignment="1" pivotButton="0" quotePrefix="0" xfId="0">
      <alignment horizontal="center"/>
    </xf>
    <xf numFmtId="164" fontId="1" fillId="2" borderId="28" pivotButton="0" quotePrefix="0" xfId="0"/>
    <xf numFmtId="0" fontId="1" fillId="2" borderId="28" pivotButton="0" quotePrefix="0" xfId="0"/>
    <xf numFmtId="0" fontId="30" fillId="2" borderId="19" applyAlignment="1" pivotButton="0" quotePrefix="0" xfId="0">
      <alignment horizontal="left"/>
    </xf>
    <xf numFmtId="14" fontId="1" fillId="10" borderId="40" applyAlignment="1" pivotButton="0" quotePrefix="0" xfId="0">
      <alignment horizontal="center"/>
    </xf>
    <xf numFmtId="0" fontId="1" fillId="10" borderId="40" applyAlignment="1" pivotButton="0" quotePrefix="0" xfId="0">
      <alignment horizontal="center"/>
    </xf>
    <xf numFmtId="0" fontId="1" fillId="10" borderId="28" applyAlignment="1" pivotButton="0" quotePrefix="0" xfId="0">
      <alignment horizontal="center" wrapText="1"/>
    </xf>
    <xf numFmtId="0" fontId="31" fillId="10" borderId="31" applyAlignment="1" pivotButton="0" quotePrefix="0" xfId="0">
      <alignment vertical="center"/>
    </xf>
    <xf numFmtId="14" fontId="1" fillId="10" borderId="19" applyAlignment="1" pivotButton="0" quotePrefix="0" xfId="0">
      <alignment horizontal="center"/>
    </xf>
    <xf numFmtId="0" fontId="31" fillId="10" borderId="19" applyAlignment="1" pivotButton="0" quotePrefix="0" xfId="0">
      <alignment vertical="center"/>
    </xf>
    <xf numFmtId="0" fontId="31" fillId="10" borderId="20" applyAlignment="1" pivotButton="0" quotePrefix="0" xfId="0">
      <alignment horizontal="center" vertical="center"/>
    </xf>
    <xf numFmtId="165" fontId="1" fillId="2" borderId="19" pivotButton="0" quotePrefix="0" xfId="0"/>
    <xf numFmtId="0" fontId="31" fillId="10" borderId="19" applyAlignment="1" pivotButton="0" quotePrefix="0" xfId="0">
      <alignment horizontal="center" vertical="center"/>
    </xf>
    <xf numFmtId="165" fontId="1" fillId="2" borderId="19" applyAlignment="1" pivotButton="0" quotePrefix="0" xfId="0">
      <alignment horizontal="center"/>
    </xf>
    <xf numFmtId="0" fontId="31" fillId="10" borderId="20" applyAlignment="1" pivotButton="0" quotePrefix="0" xfId="0">
      <alignment horizontal="center" vertical="center" wrapText="1"/>
    </xf>
    <xf numFmtId="0" fontId="31" fillId="10" borderId="19" applyAlignment="1" pivotButton="0" quotePrefix="0" xfId="0">
      <alignment vertical="center" wrapText="1"/>
    </xf>
    <xf numFmtId="14" fontId="21" fillId="0" borderId="19" applyAlignment="1" pivotButton="0" quotePrefix="0" xfId="0">
      <alignment horizontal="center"/>
    </xf>
    <xf numFmtId="0" fontId="31" fillId="10" borderId="20" applyAlignment="1" pivotButton="0" quotePrefix="0" xfId="0">
      <alignment vertical="center"/>
    </xf>
    <xf numFmtId="165" fontId="1" fillId="5" borderId="31" applyAlignment="1" pivotButton="0" quotePrefix="0" xfId="0">
      <alignment horizontal="center"/>
    </xf>
    <xf numFmtId="0" fontId="1" fillId="2" borderId="28" applyAlignment="1" pivotButton="0" quotePrefix="0" xfId="0">
      <alignment vertical="center"/>
    </xf>
    <xf numFmtId="0" fontId="1" fillId="2" borderId="28" applyAlignment="1" pivotButton="0" quotePrefix="0" xfId="0">
      <alignment horizontal="center" vertical="center"/>
    </xf>
    <xf numFmtId="0" fontId="25" fillId="0" borderId="21" pivotButton="0" quotePrefix="0" xfId="0"/>
    <xf numFmtId="14" fontId="1" fillId="0" borderId="34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32" fillId="2" borderId="41" applyAlignment="1" pivotButton="0" quotePrefix="0" xfId="0">
      <alignment vertical="center"/>
    </xf>
    <xf numFmtId="0" fontId="33" fillId="0" borderId="0" pivotButton="0" quotePrefix="0" xfId="0"/>
    <xf numFmtId="0" fontId="21" fillId="0" borderId="21" applyAlignment="1" pivotButton="0" quotePrefix="0" xfId="0">
      <alignment horizontal="center" wrapText="1"/>
    </xf>
    <xf numFmtId="0" fontId="31" fillId="10" borderId="33" applyAlignment="1" pivotButton="0" quotePrefix="0" xfId="0">
      <alignment horizontal="left" vertical="center"/>
    </xf>
    <xf numFmtId="0" fontId="34" fillId="10" borderId="19" applyAlignment="1" pivotButton="0" quotePrefix="0" xfId="0">
      <alignment horizontal="left" vertical="center"/>
    </xf>
    <xf numFmtId="0" fontId="31" fillId="10" borderId="28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 wrapText="1"/>
    </xf>
    <xf numFmtId="164" fontId="3" fillId="13" borderId="19" applyAlignment="1" pivotButton="0" quotePrefix="0" xfId="0">
      <alignment horizontal="center" vertical="center"/>
    </xf>
    <xf numFmtId="14" fontId="1" fillId="13" borderId="19" applyAlignment="1" pivotButton="0" quotePrefix="0" xfId="0">
      <alignment horizontal="center"/>
    </xf>
    <xf numFmtId="0" fontId="1" fillId="13" borderId="19" applyAlignment="1" pivotButton="0" quotePrefix="0" xfId="0">
      <alignment horizontal="center"/>
    </xf>
    <xf numFmtId="0" fontId="1" fillId="13" borderId="19" pivotButton="0" quotePrefix="0" xfId="0"/>
    <xf numFmtId="0" fontId="31" fillId="5" borderId="20" applyAlignment="1" pivotButton="0" quotePrefix="0" xfId="0">
      <alignment horizontal="center" vertical="center"/>
    </xf>
    <xf numFmtId="0" fontId="31" fillId="5" borderId="19" applyAlignment="1" pivotButton="0" quotePrefix="0" xfId="0">
      <alignment vertical="center"/>
    </xf>
    <xf numFmtId="0" fontId="31" fillId="14" borderId="19" applyAlignment="1" pivotButton="0" quotePrefix="0" xfId="0">
      <alignment vertical="center"/>
    </xf>
    <xf numFmtId="0" fontId="31" fillId="13" borderId="19" applyAlignment="1" pivotButton="0" quotePrefix="0" xfId="0">
      <alignment vertical="center"/>
    </xf>
    <xf numFmtId="0" fontId="1" fillId="15" borderId="19" applyAlignment="1" pivotButton="0" quotePrefix="0" xfId="0">
      <alignment horizontal="center"/>
    </xf>
    <xf numFmtId="1" fontId="3" fillId="0" borderId="19" applyAlignment="1" pivotButton="0" quotePrefix="0" xfId="0">
      <alignment horizontal="center"/>
    </xf>
    <xf numFmtId="164" fontId="3" fillId="0" borderId="19" pivotButton="0" quotePrefix="0" xfId="0"/>
    <xf numFmtId="0" fontId="1" fillId="2" borderId="4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0" fillId="0" borderId="0" pivotButton="0" quotePrefix="0" xfId="0"/>
    <xf numFmtId="14" fontId="1" fillId="2" borderId="2" applyAlignment="1" pivotButton="0" quotePrefix="0" xfId="0">
      <alignment horizontal="left" vertical="center"/>
    </xf>
    <xf numFmtId="14" fontId="5" fillId="2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11" fillId="2" borderId="2" applyAlignment="1" pivotButton="0" quotePrefix="0" xfId="0">
      <alignment horizontal="left" vertical="center"/>
    </xf>
    <xf numFmtId="0" fontId="6" fillId="4" borderId="45" applyAlignment="1" pivotButton="0" quotePrefix="0" xfId="0">
      <alignment horizontal="center" vertical="center"/>
    </xf>
    <xf numFmtId="0" fontId="0" fillId="0" borderId="46" pivotButton="0" quotePrefix="0" xfId="0"/>
    <xf numFmtId="14" fontId="8" fillId="2" borderId="2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14" fontId="1" fillId="2" borderId="24" applyAlignment="1" pivotButton="0" quotePrefix="0" xfId="0">
      <alignment horizontal="center" vertical="center"/>
    </xf>
    <xf numFmtId="0" fontId="0" fillId="0" borderId="44" pivotButton="0" quotePrefix="0" xfId="0"/>
    <xf numFmtId="0" fontId="2" fillId="2" borderId="2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14" fontId="1" fillId="0" borderId="2" applyAlignment="1" pivotButton="0" quotePrefix="0" xfId="0">
      <alignment horizontal="left" vertical="center"/>
    </xf>
    <xf numFmtId="14" fontId="1" fillId="0" borderId="2" applyAlignment="1" pivotButton="0" quotePrefix="0" xfId="0">
      <alignment horizontal="left" vertical="center" wrapText="1"/>
    </xf>
    <xf numFmtId="14" fontId="1" fillId="0" borderId="19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1" pivotButton="0" quotePrefix="0" xfId="0"/>
    <xf numFmtId="14" fontId="1" fillId="0" borderId="19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5" pivotButton="0" quotePrefix="0" xfId="0"/>
    <xf numFmtId="0" fontId="0" fillId="0" borderId="43" pivotButton="0" quotePrefix="0" xfId="0"/>
    <xf numFmtId="0" fontId="25" fillId="0" borderId="19" applyAlignment="1" pivotButton="0" quotePrefix="0" xfId="0">
      <alignment horizontal="center"/>
    </xf>
    <xf numFmtId="0" fontId="0" fillId="0" borderId="34" pivotButton="0" quotePrefix="0" xfId="0"/>
    <xf numFmtId="0" fontId="5" fillId="0" borderId="19" applyAlignment="1" pivotButton="0" quotePrefix="0" xfId="0">
      <alignment horizontal="center"/>
    </xf>
    <xf numFmtId="0" fontId="1" fillId="0" borderId="19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16" fontId="1" fillId="0" borderId="19" applyAlignment="1" pivotButton="0" quotePrefix="0" xfId="0">
      <alignment horizontal="center"/>
    </xf>
    <xf numFmtId="0" fontId="31" fillId="10" borderId="19" applyAlignment="1" pivotButton="0" quotePrefix="0" xfId="0">
      <alignment horizontal="center" vertical="center" wrapText="1"/>
    </xf>
    <xf numFmtId="0" fontId="31" fillId="5" borderId="19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3171825" cy="981075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114300</colOff>
      <row>0</row>
      <rowOff>76200</rowOff>
    </from>
    <ext cx="2562225" cy="971550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0</row>
      <rowOff>57150</rowOff>
    </from>
    <ext cx="2562225" cy="962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0</row>
      <rowOff>57150</rowOff>
    </from>
    <ext cx="2562225" cy="962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0</row>
      <rowOff>57150</rowOff>
    </from>
    <ext cx="2562225" cy="962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28575</colOff>
      <row>0</row>
      <rowOff>57150</rowOff>
    </from>
    <ext cx="2562225" cy="962025"/>
    <pic>
      <nvPicPr>
        <cNvPr id="0" name="image2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mailto:taniaabreu.ta@gmail.com" TargetMode="External" Id="rId1" /><Relationship Type="http://schemas.openxmlformats.org/officeDocument/2006/relationships/hyperlink" Target="mailto:taniaabreu.ta@gmail.com" TargetMode="External" Id="rId2" /><Relationship Type="http://schemas.openxmlformats.org/officeDocument/2006/relationships/hyperlink" Target="mailto:vanessabf12@gmail.com" TargetMode="External" Id="rId3" /><Relationship Type="http://schemas.openxmlformats.org/officeDocument/2006/relationships/hyperlink" Target="mailto:alessiaf@uol.com.br" TargetMode="External" Id="rId4" /><Relationship Type="http://schemas.openxmlformats.org/officeDocument/2006/relationships/hyperlink" Target="mailto:danielanunesaraujo@gmail.com" TargetMode="External" Id="rId5" /><Relationship Type="http://schemas.openxmlformats.org/officeDocument/2006/relationships/hyperlink" Target="mailto:alessiaf@uol.com.br" TargetMode="External" Id="rId6" /><Relationship Type="http://schemas.openxmlformats.org/officeDocument/2006/relationships/hyperlink" Target="mailto:alessiaf@uol.com.br" TargetMode="External" Id="rId7" /><Relationship Type="http://schemas.openxmlformats.org/officeDocument/2006/relationships/hyperlink" Target="mailto:pedro.clinica@gmail.com" TargetMode="External" Id="rId8" /><Relationship Type="http://schemas.openxmlformats.org/officeDocument/2006/relationships/hyperlink" Target="mailto:luizasarno100@gmail.com" TargetMode="External" Id="rId9" /><Relationship Type="http://schemas.openxmlformats.org/officeDocument/2006/relationships/hyperlink" Target="mailto:alessiaf@uol.com.br" TargetMode="External" Id="rId10" /><Relationship Type="http://schemas.openxmlformats.org/officeDocument/2006/relationships/hyperlink" Target="mailto:taniaabreu.ta@gmail.com" TargetMode="External" Id="rId11" /><Relationship Type="http://schemas.openxmlformats.org/officeDocument/2006/relationships/hyperlink" Target="mailto:fatima.asarmento@gmail.com" TargetMode="External" Id="rId12" /><Relationship Type="http://schemas.openxmlformats.org/officeDocument/2006/relationships/hyperlink" Target="mailto:vanessabf12@gmail.com" TargetMode="External" Id="rId13" /><Relationship Type="http://schemas.openxmlformats.org/officeDocument/2006/relationships/hyperlink" Target="mailto:pedro.clinica@gmail.com" TargetMode="External" Id="rId14" /><Relationship Type="http://schemas.openxmlformats.org/officeDocument/2006/relationships/hyperlink" Target="mailto:andreaguisoli@gmail.com" TargetMode="External" Id="rId15" /><Relationship Type="http://schemas.openxmlformats.org/officeDocument/2006/relationships/hyperlink" Target="mailto:pablosauce@gmail.com" TargetMode="External" Id="rId16" /><Relationship Type="http://schemas.openxmlformats.org/officeDocument/2006/relationships/hyperlink" Target="mailto:fatima.asarmento@gmail.com" TargetMode="External" Id="rId17" /><Relationship Type="http://schemas.openxmlformats.org/officeDocument/2006/relationships/hyperlink" Target="mailto:camillaolvrcosta@gmail.com" TargetMode="External" Id="rId18" /><Relationship Type="http://schemas.openxmlformats.org/officeDocument/2006/relationships/hyperlink" Target="mailto:camillaolvrcosta@gmail.com" TargetMode="External" Id="rId19" /><Relationship Type="http://schemas.openxmlformats.org/officeDocument/2006/relationships/hyperlink" Target="mailto:marcelo.magnelli@gmail.com" TargetMode="External" Id="rId20" /><Relationship Type="http://schemas.openxmlformats.org/officeDocument/2006/relationships/hyperlink" Target="mailto:contaterogerio@gmail.com" TargetMode="External" Id="rId21" /><Relationship Type="http://schemas.openxmlformats.org/officeDocument/2006/relationships/hyperlink" Target="mailto:marcelo.magnelli@gmail.com" TargetMode="External" Id="rId22" /><Relationship Type="http://schemas.openxmlformats.org/officeDocument/2006/relationships/hyperlink" Target="mailto:emersontolentinoarthus@gmail.com" TargetMode="External" Id="rId23" /><Relationship Type="http://schemas.openxmlformats.org/officeDocument/2006/relationships/hyperlink" Target="mailto:monicahage@uol.com.br" TargetMode="External" Id="rId24" /><Relationship Type="http://schemas.openxmlformats.org/officeDocument/2006/relationships/hyperlink" Target="mailto:ruimelo1507@gmail.com" TargetMode="External" Id="rId25" /><Relationship Type="http://schemas.openxmlformats.org/officeDocument/2006/relationships/hyperlink" Target="mailto:andradedelira@gmail.com" TargetMode="External" Id="rId26" /><Relationship Type="http://schemas.openxmlformats.org/officeDocument/2006/relationships/hyperlink" Target="mailto:susanevz@gmail.com" TargetMode="External" Id="rId27" /><Relationship Type="http://schemas.openxmlformats.org/officeDocument/2006/relationships/hyperlink" Target="mailto:mgliborio@hotmail.com" TargetMode="External" Id="rId28" /><Relationship Type="http://schemas.openxmlformats.org/officeDocument/2006/relationships/hyperlink" Target="mailto:alessiaf@uol.com.br" TargetMode="External" Id="rId29" /><Relationship Type="http://schemas.openxmlformats.org/officeDocument/2006/relationships/hyperlink" Target="mailto:luizfelipemonteiro@gmail.com" TargetMode="External" Id="rId30" /><Relationship Type="http://schemas.openxmlformats.org/officeDocument/2006/relationships/hyperlink" Target="mailto:pedro.clinica@gmail.com" TargetMode="External" Id="rId31" /><Relationship Type="http://schemas.openxmlformats.org/officeDocument/2006/relationships/hyperlink" Target="mailto:matfcosta@gmail.com" TargetMode="External" Id="rId32" /><Relationship Type="http://schemas.openxmlformats.org/officeDocument/2006/relationships/hyperlink" Target="mailto:wilker.pessoa@hotmail.com" TargetMode="External" Id="rId33" /><Relationship Type="http://schemas.openxmlformats.org/officeDocument/2006/relationships/hyperlink" Target="mailto:ritaf.mendonca@terra.com.br" TargetMode="External" Id="rId34" /><Relationship Type="http://schemas.openxmlformats.org/officeDocument/2006/relationships/hyperlink" Target="mailto:psico.rdom@terra.com.br" TargetMode="External" Id="rId35" /><Relationship Type="http://schemas.openxmlformats.org/officeDocument/2006/relationships/drawing" Target="/xl/drawings/drawing1.xml" Id="rId36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5.44" customWidth="1" style="317" min="1" max="1"/>
    <col width="30.44" customWidth="1" style="317" min="2" max="2"/>
    <col width="5.44" customWidth="1" style="317" min="3" max="3"/>
    <col width="11.89" customWidth="1" style="317" min="4" max="4"/>
    <col width="12.11" customWidth="1" style="317" min="5" max="5"/>
    <col width="12.89" customWidth="1" style="317" min="6" max="6"/>
    <col width="13.56" customWidth="1" style="317" min="7" max="8"/>
    <col width="13.44" customWidth="1" style="317" min="9" max="9"/>
    <col width="13.89" customWidth="1" style="317" min="10" max="10"/>
    <col width="21.11" customWidth="1" style="317" min="11" max="12"/>
    <col width="28.56" customWidth="1" style="317" min="13" max="13"/>
    <col width="13.44" customWidth="1" style="317" min="14" max="14"/>
    <col width="27" customWidth="1" style="317" min="15" max="15"/>
    <col width="77.89" customWidth="1" style="317" min="16" max="16"/>
    <col width="10.89" customWidth="1" style="317" min="17" max="26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inlineStr">
        <is>
          <t>TELEFONE</t>
        </is>
      </c>
      <c r="O2" s="2" t="inlineStr">
        <is>
          <t>EMAIL</t>
        </is>
      </c>
      <c r="P2" s="2" t="inlineStr">
        <is>
          <t>ENDEREÇO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3" t="n"/>
      <c r="C3" s="4" t="n"/>
      <c r="D3" s="5" t="n"/>
      <c r="E3" s="5" t="n"/>
      <c r="F3" s="5" t="n"/>
      <c r="G3" s="5" t="n"/>
      <c r="H3" s="6" t="n"/>
      <c r="I3" s="7" t="n"/>
      <c r="J3" s="4" t="n"/>
      <c r="K3" s="4" t="n"/>
      <c r="L3" s="7" t="n"/>
      <c r="M3" s="3" t="n"/>
      <c r="N3" s="3" t="n"/>
      <c r="O3" s="8" t="n"/>
      <c r="P3" s="9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3" t="n"/>
      <c r="C4" s="4" t="n"/>
      <c r="D4" s="5" t="n"/>
      <c r="E4" s="5" t="n"/>
      <c r="F4" s="5" t="n"/>
      <c r="G4" s="5" t="n"/>
      <c r="H4" s="6" t="n"/>
      <c r="I4" s="7" t="n"/>
      <c r="J4" s="4" t="n"/>
      <c r="K4" s="4" t="n"/>
      <c r="L4" s="7" t="n"/>
      <c r="M4" s="3" t="n"/>
      <c r="N4" s="3" t="n"/>
      <c r="O4" s="10" t="n"/>
      <c r="P4" s="3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3" t="n"/>
      <c r="C5" s="4" t="n"/>
      <c r="D5" s="5" t="n"/>
      <c r="E5" s="5" t="n"/>
      <c r="F5" s="5" t="n"/>
      <c r="G5" s="5" t="n"/>
      <c r="H5" s="6" t="n"/>
      <c r="I5" s="7" t="n"/>
      <c r="J5" s="7" t="n"/>
      <c r="K5" s="7" t="n"/>
      <c r="L5" s="7" t="n"/>
      <c r="M5" s="318" t="n"/>
      <c r="N5" s="318" t="n"/>
      <c r="O5" s="319" t="n"/>
      <c r="P5" s="7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3" t="n"/>
      <c r="C6" s="4" t="n"/>
      <c r="D6" s="5" t="n"/>
      <c r="E6" s="5" t="n"/>
      <c r="F6" s="5" t="n"/>
      <c r="G6" s="5" t="n"/>
      <c r="H6" s="320" t="n"/>
      <c r="I6" s="320" t="n"/>
      <c r="J6" s="320" t="n"/>
      <c r="K6" s="320" t="n"/>
      <c r="L6" s="320" t="n"/>
      <c r="M6" s="320" t="n"/>
      <c r="N6" s="320" t="n"/>
      <c r="O6" s="320" t="n"/>
      <c r="P6" s="320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3" t="n"/>
      <c r="C7" s="4" t="n"/>
      <c r="D7" s="5" t="n"/>
      <c r="E7" s="5" t="n"/>
      <c r="F7" s="5" t="n"/>
      <c r="G7" s="5" t="n"/>
      <c r="H7" s="6" t="n"/>
      <c r="I7" s="7" t="n"/>
      <c r="J7" s="7" t="n"/>
      <c r="K7" s="7" t="n"/>
      <c r="L7" s="7" t="n"/>
      <c r="M7" s="318" t="n"/>
      <c r="N7" s="318" t="n"/>
      <c r="O7" s="319" t="n"/>
      <c r="P7" s="7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3" t="n"/>
      <c r="C8" s="4" t="n"/>
      <c r="D8" s="5" t="n"/>
      <c r="E8" s="5" t="n"/>
      <c r="F8" s="5" t="n"/>
      <c r="G8" s="5" t="n"/>
      <c r="H8" s="321" t="n"/>
      <c r="I8" s="321" t="n"/>
      <c r="J8" s="321" t="n"/>
      <c r="K8" s="321" t="n"/>
      <c r="L8" s="321" t="n"/>
      <c r="M8" s="321" t="n"/>
      <c r="N8" s="321" t="n"/>
      <c r="O8" s="321" t="n"/>
      <c r="P8" s="32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3" t="n"/>
      <c r="C9" s="4" t="n"/>
      <c r="D9" s="5" t="n"/>
      <c r="E9" s="5" t="n"/>
      <c r="F9" s="5" t="n"/>
      <c r="G9" s="5" t="n"/>
      <c r="H9" s="320" t="n"/>
      <c r="I9" s="320" t="n"/>
      <c r="J9" s="320" t="n"/>
      <c r="K9" s="320" t="n"/>
      <c r="L9" s="320" t="n"/>
      <c r="M9" s="320" t="n"/>
      <c r="N9" s="320" t="n"/>
      <c r="O9" s="320" t="n"/>
      <c r="P9" s="320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3" t="n"/>
      <c r="C10" s="4" t="n"/>
      <c r="D10" s="5" t="n"/>
      <c r="E10" s="5" t="n"/>
      <c r="F10" s="5" t="n"/>
      <c r="G10" s="5" t="n"/>
      <c r="H10" s="6" t="n"/>
      <c r="I10" s="7" t="n"/>
      <c r="J10" s="7" t="n"/>
      <c r="K10" s="7" t="n"/>
      <c r="L10" s="7" t="n"/>
      <c r="M10" s="18" t="n"/>
      <c r="N10" s="18" t="n"/>
      <c r="O10" s="318" t="n"/>
      <c r="P10" s="318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3" t="n"/>
      <c r="C11" s="4" t="n"/>
      <c r="D11" s="5" t="n"/>
      <c r="E11" s="5" t="n"/>
      <c r="F11" s="5" t="n"/>
      <c r="G11" s="5" t="n"/>
      <c r="H11" s="320" t="n"/>
      <c r="I11" s="320" t="n"/>
      <c r="J11" s="320" t="n"/>
      <c r="K11" s="320" t="n"/>
      <c r="L11" s="320" t="n"/>
      <c r="M11" s="320" t="n"/>
      <c r="N11" s="320" t="n"/>
      <c r="O11" s="320" t="n"/>
      <c r="P11" s="320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3" t="n"/>
      <c r="C12" s="4" t="n"/>
      <c r="D12" s="5" t="n"/>
      <c r="E12" s="5" t="n"/>
      <c r="F12" s="5" t="n"/>
      <c r="G12" s="5" t="n"/>
      <c r="H12" s="6" t="n"/>
      <c r="I12" s="7" t="n"/>
      <c r="J12" s="4" t="n"/>
      <c r="K12" s="4" t="n"/>
      <c r="L12" s="7" t="n"/>
      <c r="M12" s="3" t="n"/>
      <c r="N12" s="3" t="n"/>
      <c r="O12" s="8" t="n"/>
      <c r="P12" s="3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3" t="n"/>
      <c r="C13" s="4" t="n"/>
      <c r="D13" s="5" t="n"/>
      <c r="E13" s="5" t="n"/>
      <c r="F13" s="5" t="n"/>
      <c r="G13" s="5" t="n"/>
      <c r="H13" s="1" t="n"/>
      <c r="I13" s="7" t="n"/>
      <c r="J13" s="4" t="n"/>
      <c r="K13" s="4" t="n"/>
      <c r="L13" s="7" t="n"/>
      <c r="M13" s="3" t="n"/>
      <c r="N13" s="3" t="n"/>
      <c r="O13" s="10" t="n"/>
      <c r="P13" s="9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3" t="n"/>
      <c r="C14" s="4" t="n"/>
      <c r="D14" s="5" t="n"/>
      <c r="E14" s="5" t="n"/>
      <c r="F14" s="5" t="n"/>
      <c r="G14" s="5" t="n"/>
      <c r="H14" s="6" t="n"/>
      <c r="I14" s="7" t="n"/>
      <c r="J14" s="7" t="n"/>
      <c r="K14" s="7" t="n"/>
      <c r="L14" s="7" t="n"/>
      <c r="M14" s="318" t="n"/>
      <c r="N14" s="318" t="n"/>
      <c r="O14" s="318" t="n"/>
      <c r="P14" s="318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3" t="n"/>
      <c r="C15" s="4" t="n"/>
      <c r="D15" s="5" t="n"/>
      <c r="E15" s="5" t="n"/>
      <c r="F15" s="5" t="n"/>
      <c r="G15" s="5" t="n"/>
      <c r="H15" s="320" t="n"/>
      <c r="I15" s="320" t="n"/>
      <c r="J15" s="320" t="n"/>
      <c r="K15" s="320" t="n"/>
      <c r="L15" s="320" t="n"/>
      <c r="M15" s="320" t="n"/>
      <c r="N15" s="320" t="n"/>
      <c r="O15" s="320" t="n"/>
      <c r="P15" s="320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3" t="n"/>
      <c r="C16" s="4" t="n"/>
      <c r="D16" s="5" t="n"/>
      <c r="E16" s="5" t="n"/>
      <c r="F16" s="5" t="n"/>
      <c r="G16" s="5" t="n"/>
      <c r="H16" s="6" t="n"/>
      <c r="I16" s="7" t="n"/>
      <c r="J16" s="7" t="n"/>
      <c r="K16" s="7" t="n"/>
      <c r="L16" s="7" t="n"/>
      <c r="M16" s="318" t="n"/>
      <c r="N16" s="318" t="n"/>
      <c r="O16" s="319" t="n"/>
      <c r="P16" s="318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9" t="n"/>
      <c r="C17" s="4" t="n"/>
      <c r="D17" s="5" t="n"/>
      <c r="E17" s="5" t="n"/>
      <c r="F17" s="5" t="n"/>
      <c r="G17" s="5" t="n"/>
      <c r="H17" s="321" t="n"/>
      <c r="I17" s="321" t="n"/>
      <c r="J17" s="321" t="n"/>
      <c r="K17" s="321" t="n"/>
      <c r="L17" s="321" t="n"/>
      <c r="M17" s="321" t="n"/>
      <c r="N17" s="321" t="n"/>
      <c r="O17" s="321" t="n"/>
      <c r="P17" s="32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9" t="n"/>
      <c r="C18" s="4" t="n"/>
      <c r="D18" s="5" t="n"/>
      <c r="E18" s="5" t="n"/>
      <c r="F18" s="5" t="n"/>
      <c r="G18" s="5" t="n"/>
      <c r="H18" s="321" t="n"/>
      <c r="I18" s="321" t="n"/>
      <c r="J18" s="321" t="n"/>
      <c r="K18" s="321" t="n"/>
      <c r="L18" s="321" t="n"/>
      <c r="M18" s="321" t="n"/>
      <c r="N18" s="321" t="n"/>
      <c r="O18" s="321" t="n"/>
      <c r="P18" s="32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9" t="n"/>
      <c r="C19" s="4" t="n"/>
      <c r="D19" s="5" t="n"/>
      <c r="E19" s="5" t="n"/>
      <c r="F19" s="5" t="n"/>
      <c r="G19" s="5" t="n"/>
      <c r="H19" s="321" t="n"/>
      <c r="I19" s="321" t="n"/>
      <c r="J19" s="321" t="n"/>
      <c r="K19" s="321" t="n"/>
      <c r="L19" s="321" t="n"/>
      <c r="M19" s="321" t="n"/>
      <c r="N19" s="321" t="n"/>
      <c r="O19" s="321" t="n"/>
      <c r="P19" s="32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9" t="n"/>
      <c r="C20" s="4" t="n"/>
      <c r="D20" s="5" t="n"/>
      <c r="E20" s="5" t="n"/>
      <c r="F20" s="5" t="n"/>
      <c r="G20" s="5" t="n"/>
      <c r="H20" s="321" t="n"/>
      <c r="I20" s="321" t="n"/>
      <c r="J20" s="321" t="n"/>
      <c r="K20" s="321" t="n"/>
      <c r="L20" s="321" t="n"/>
      <c r="M20" s="321" t="n"/>
      <c r="N20" s="321" t="n"/>
      <c r="O20" s="321" t="n"/>
      <c r="P20" s="32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9" t="n"/>
      <c r="C21" s="4" t="n"/>
      <c r="D21" s="5" t="n"/>
      <c r="E21" s="5" t="n"/>
      <c r="F21" s="5" t="n"/>
      <c r="G21" s="5" t="n"/>
      <c r="H21" s="320" t="n"/>
      <c r="I21" s="320" t="n"/>
      <c r="J21" s="320" t="n"/>
      <c r="K21" s="320" t="n"/>
      <c r="L21" s="320" t="n"/>
      <c r="M21" s="320" t="n"/>
      <c r="N21" s="320" t="n"/>
      <c r="O21" s="320" t="n"/>
      <c r="P21" s="320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3" t="n"/>
      <c r="C22" s="4" t="n"/>
      <c r="D22" s="5" t="n"/>
      <c r="E22" s="5" t="n"/>
      <c r="F22" s="5" t="n"/>
      <c r="G22" s="5" t="n"/>
      <c r="H22" s="6" t="n"/>
      <c r="I22" s="7" t="n"/>
      <c r="J22" s="4" t="n"/>
      <c r="K22" s="4" t="n"/>
      <c r="L22" s="7" t="n"/>
      <c r="M22" s="3" t="n"/>
      <c r="N22" s="3" t="n"/>
      <c r="O22" s="10" t="n"/>
      <c r="P22" s="9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3" t="n"/>
      <c r="C23" s="4" t="n"/>
      <c r="D23" s="5" t="n"/>
      <c r="E23" s="5" t="n"/>
      <c r="F23" s="5" t="n"/>
      <c r="G23" s="5" t="n"/>
      <c r="H23" s="6" t="n"/>
      <c r="I23" s="7" t="n"/>
      <c r="J23" s="4" t="n"/>
      <c r="K23" s="4" t="n"/>
      <c r="L23" s="7" t="n"/>
      <c r="M23" s="3" t="n"/>
      <c r="N23" s="3" t="n"/>
      <c r="O23" s="10" t="n"/>
      <c r="P23" s="9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3" t="n"/>
      <c r="C24" s="4" t="n"/>
      <c r="D24" s="5" t="n"/>
      <c r="E24" s="5" t="n"/>
      <c r="F24" s="5" t="n"/>
      <c r="G24" s="5" t="n"/>
      <c r="H24" s="6" t="n"/>
      <c r="I24" s="7" t="n"/>
      <c r="J24" s="4" t="n"/>
      <c r="K24" s="4" t="n"/>
      <c r="L24" s="7" t="n"/>
      <c r="M24" s="3" t="n"/>
      <c r="N24" s="3" t="n"/>
      <c r="O24" s="8" t="n"/>
      <c r="P24" s="3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3" t="n"/>
      <c r="C25" s="4" t="n"/>
      <c r="D25" s="5" t="n"/>
      <c r="E25" s="5" t="n"/>
      <c r="F25" s="5" t="n"/>
      <c r="G25" s="5" t="n"/>
      <c r="H25" s="6" t="n"/>
      <c r="I25" s="7" t="n"/>
      <c r="J25" s="4" t="n"/>
      <c r="K25" s="4" t="n"/>
      <c r="L25" s="7" t="n"/>
      <c r="M25" s="3" t="n"/>
      <c r="N25" s="3" t="n"/>
      <c r="O25" s="8" t="n"/>
      <c r="P25" s="3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3" t="n"/>
      <c r="C26" s="4" t="n"/>
      <c r="D26" s="5" t="n"/>
      <c r="E26" s="5" t="n"/>
      <c r="F26" s="5" t="n"/>
      <c r="G26" s="5" t="n"/>
      <c r="H26" s="6" t="n"/>
      <c r="I26" s="7" t="n"/>
      <c r="J26" s="4" t="n"/>
      <c r="K26" s="4" t="n"/>
      <c r="L26" s="7" t="n"/>
      <c r="M26" s="18" t="n"/>
      <c r="N26" s="3" t="n"/>
      <c r="O26" s="10" t="n"/>
      <c r="P26" s="9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3" t="n"/>
      <c r="C27" s="4" t="n"/>
      <c r="D27" s="5" t="n"/>
      <c r="E27" s="5" t="n"/>
      <c r="F27" s="5" t="n"/>
      <c r="G27" s="5" t="n"/>
      <c r="H27" s="6" t="n"/>
      <c r="I27" s="7" t="n"/>
      <c r="J27" s="4" t="n"/>
      <c r="K27" s="4" t="n"/>
      <c r="L27" s="7" t="n"/>
      <c r="M27" s="3" t="n"/>
      <c r="N27" s="3" t="n"/>
      <c r="O27" s="8" t="n"/>
      <c r="P27" s="9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3" t="n"/>
      <c r="C28" s="4" t="n"/>
      <c r="D28" s="5" t="n"/>
      <c r="E28" s="5" t="n"/>
      <c r="F28" s="5" t="n"/>
      <c r="G28" s="5" t="n"/>
      <c r="H28" s="6" t="n"/>
      <c r="I28" s="7" t="n"/>
      <c r="J28" s="4" t="n"/>
      <c r="K28" s="4" t="n"/>
      <c r="L28" s="7" t="n"/>
      <c r="M28" s="9" t="n"/>
      <c r="N28" s="3" t="n"/>
      <c r="O28" s="3" t="n"/>
      <c r="P28" s="9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3" t="n"/>
      <c r="C29" s="4" t="n"/>
      <c r="D29" s="5" t="n"/>
      <c r="E29" s="5" t="n"/>
      <c r="F29" s="5" t="n"/>
      <c r="G29" s="5" t="n"/>
      <c r="H29" s="6" t="n"/>
      <c r="I29" s="7" t="n"/>
      <c r="J29" s="4" t="n"/>
      <c r="K29" s="4" t="n"/>
      <c r="L29" s="7" t="n"/>
      <c r="M29" s="3" t="n"/>
      <c r="N29" s="3" t="n"/>
      <c r="O29" s="8" t="n"/>
      <c r="P29" s="3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3" t="n"/>
      <c r="C30" s="4" t="n"/>
      <c r="D30" s="5" t="n"/>
      <c r="E30" s="5" t="n"/>
      <c r="F30" s="5" t="n"/>
      <c r="G30" s="5" t="n"/>
      <c r="H30" s="6" t="n"/>
      <c r="I30" s="7" t="n"/>
      <c r="J30" s="4" t="n"/>
      <c r="K30" s="4" t="n"/>
      <c r="L30" s="7" t="n"/>
      <c r="M30" s="18" t="n"/>
      <c r="N30" s="3" t="n"/>
      <c r="O30" s="8" t="n"/>
      <c r="P30" s="9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3" t="n"/>
      <c r="C31" s="4" t="n"/>
      <c r="D31" s="5" t="n"/>
      <c r="E31" s="5" t="n"/>
      <c r="F31" s="5" t="n"/>
      <c r="G31" s="5" t="n"/>
      <c r="H31" s="6" t="n"/>
      <c r="I31" s="7" t="n"/>
      <c r="J31" s="4" t="n"/>
      <c r="K31" s="4" t="n"/>
      <c r="L31" s="7" t="n"/>
      <c r="M31" s="3" t="n"/>
      <c r="N31" s="3" t="n"/>
      <c r="O31" s="8" t="n"/>
      <c r="P31" s="3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3" t="n"/>
      <c r="C32" s="4" t="n"/>
      <c r="D32" s="5" t="n"/>
      <c r="E32" s="5" t="n"/>
      <c r="F32" s="5" t="n"/>
      <c r="G32" s="5" t="n"/>
      <c r="H32" s="6" t="n"/>
      <c r="I32" s="7" t="n"/>
      <c r="J32" s="4" t="n"/>
      <c r="K32" s="4" t="n"/>
      <c r="L32" s="7" t="n"/>
      <c r="M32" s="9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3" t="n"/>
      <c r="C33" s="4" t="n"/>
      <c r="D33" s="5" t="n"/>
      <c r="E33" s="5" t="n"/>
      <c r="F33" s="5" t="n"/>
      <c r="G33" s="5" t="n"/>
      <c r="H33" s="6" t="n"/>
      <c r="I33" s="7" t="n"/>
      <c r="J33" s="4" t="n"/>
      <c r="K33" s="4" t="n"/>
      <c r="L33" s="7" t="n"/>
      <c r="M33" s="3" t="n"/>
      <c r="N33" s="3" t="n"/>
      <c r="O33" s="8" t="n"/>
      <c r="P33" s="3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3" t="n"/>
      <c r="C34" s="4" t="n"/>
      <c r="D34" s="5" t="n"/>
      <c r="E34" s="5" t="n"/>
      <c r="F34" s="5" t="n"/>
      <c r="G34" s="5" t="n"/>
      <c r="H34" s="6" t="n"/>
      <c r="I34" s="7" t="n"/>
      <c r="J34" s="4" t="n"/>
      <c r="K34" s="4" t="n"/>
      <c r="L34" s="7" t="n"/>
      <c r="M34" s="3" t="n"/>
      <c r="N34" s="3" t="n"/>
      <c r="O34" s="8" t="n"/>
      <c r="P34" s="3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3" t="n"/>
      <c r="C35" s="4" t="n"/>
      <c r="D35" s="5" t="n"/>
      <c r="E35" s="5" t="n"/>
      <c r="F35" s="5" t="n"/>
      <c r="G35" s="5" t="n"/>
      <c r="H35" s="6" t="n"/>
      <c r="I35" s="7" t="n"/>
      <c r="J35" s="4" t="n"/>
      <c r="K35" s="4" t="n"/>
      <c r="L35" s="7" t="n"/>
      <c r="M35" s="3" t="n"/>
      <c r="N35" s="3" t="n"/>
      <c r="O35" s="8" t="n"/>
      <c r="P35" s="3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3" t="n"/>
      <c r="C36" s="4" t="n"/>
      <c r="D36" s="5" t="n"/>
      <c r="E36" s="5" t="n"/>
      <c r="F36" s="5" t="n"/>
      <c r="G36" s="5" t="n"/>
      <c r="H36" s="6" t="n"/>
      <c r="I36" s="7" t="n"/>
      <c r="J36" s="4" t="n"/>
      <c r="K36" s="4" t="n"/>
      <c r="L36" s="7" t="n"/>
      <c r="M36" s="3" t="n"/>
      <c r="N36" s="3" t="n"/>
      <c r="O36" s="8" t="n"/>
      <c r="P36" s="3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3" t="n"/>
      <c r="C37" s="4" t="n"/>
      <c r="D37" s="5" t="n"/>
      <c r="E37" s="5" t="n"/>
      <c r="F37" s="5" t="n"/>
      <c r="G37" s="5" t="n"/>
      <c r="H37" s="6" t="n"/>
      <c r="I37" s="7" t="n"/>
      <c r="J37" s="4" t="n"/>
      <c r="K37" s="4" t="n"/>
      <c r="L37" s="7" t="n"/>
      <c r="M37" s="3" t="n"/>
      <c r="N37" s="33" t="n"/>
      <c r="O37" s="8" t="n"/>
      <c r="P37" s="3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3" t="n"/>
      <c r="C38" s="4" t="n"/>
      <c r="D38" s="5" t="n"/>
      <c r="E38" s="5" t="n"/>
      <c r="F38" s="5" t="n"/>
      <c r="G38" s="5" t="n"/>
      <c r="H38" s="6" t="n"/>
      <c r="I38" s="7" t="n"/>
      <c r="J38" s="7" t="n"/>
      <c r="K38" s="7" t="n"/>
      <c r="L38" s="7" t="n"/>
      <c r="M38" s="318" t="n"/>
      <c r="N38" s="318" t="n"/>
      <c r="O38" s="318" t="n"/>
      <c r="P38" s="318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3" t="n"/>
      <c r="C39" s="4" t="n"/>
      <c r="D39" s="5" t="n"/>
      <c r="E39" s="5" t="n"/>
      <c r="F39" s="5" t="n"/>
      <c r="G39" s="5" t="n"/>
      <c r="H39" s="320" t="n"/>
      <c r="I39" s="320" t="n"/>
      <c r="J39" s="320" t="n"/>
      <c r="K39" s="320" t="n"/>
      <c r="L39" s="320" t="n"/>
      <c r="M39" s="320" t="n"/>
      <c r="N39" s="320" t="n"/>
      <c r="O39" s="320" t="n"/>
      <c r="P39" s="320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3" t="n"/>
      <c r="C40" s="4" t="n"/>
      <c r="D40" s="5" t="n"/>
      <c r="E40" s="5" t="n"/>
      <c r="F40" s="5" t="n"/>
      <c r="G40" s="5" t="n"/>
      <c r="H40" s="6" t="n"/>
      <c r="I40" s="7" t="n"/>
      <c r="J40" s="4" t="n"/>
      <c r="K40" s="4" t="n"/>
      <c r="L40" s="7" t="n"/>
      <c r="M40" s="3" t="n"/>
      <c r="N40" s="3" t="n"/>
      <c r="O40" s="8" t="n"/>
      <c r="P40" s="3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3" t="n"/>
      <c r="C41" s="4" t="n"/>
      <c r="D41" s="5" t="n"/>
      <c r="E41" s="5" t="n"/>
      <c r="F41" s="5" t="n"/>
      <c r="G41" s="5" t="n"/>
      <c r="H41" s="6" t="n"/>
      <c r="I41" s="7" t="n"/>
      <c r="J41" s="4" t="n"/>
      <c r="K41" s="4" t="n"/>
      <c r="L41" s="7" t="n"/>
      <c r="M41" s="3" t="n"/>
      <c r="N41" s="33" t="n"/>
      <c r="O41" s="35" t="n"/>
      <c r="P41" s="3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3" t="n"/>
      <c r="C42" s="4" t="n"/>
      <c r="D42" s="5" t="n"/>
      <c r="E42" s="5" t="n"/>
      <c r="F42" s="5" t="n"/>
      <c r="G42" s="5" t="n"/>
      <c r="H42" s="6" t="n"/>
      <c r="I42" s="7" t="n"/>
      <c r="J42" s="4" t="n"/>
      <c r="K42" s="4" t="n"/>
      <c r="L42" s="7" t="n"/>
      <c r="M42" s="3" t="n"/>
      <c r="N42" s="3" t="n"/>
      <c r="O42" s="8" t="n"/>
      <c r="P42" s="3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3" t="n"/>
      <c r="C43" s="4" t="n"/>
      <c r="D43" s="5" t="n"/>
      <c r="E43" s="5" t="n"/>
      <c r="F43" s="5" t="n"/>
      <c r="G43" s="5" t="n"/>
      <c r="H43" s="6" t="n"/>
      <c r="I43" s="7" t="n"/>
      <c r="J43" s="4" t="n"/>
      <c r="K43" s="4" t="n"/>
      <c r="L43" s="7" t="n"/>
      <c r="M43" s="3" t="n"/>
      <c r="N43" s="3" t="n"/>
      <c r="O43" s="8" t="n"/>
      <c r="P43" s="3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3" t="n"/>
      <c r="C44" s="4" t="n"/>
      <c r="D44" s="5" t="n"/>
      <c r="E44" s="5" t="n"/>
      <c r="F44" s="5" t="n"/>
      <c r="G44" s="5" t="n"/>
      <c r="H44" s="6" t="n"/>
      <c r="I44" s="7" t="n"/>
      <c r="J44" s="4" t="n"/>
      <c r="K44" s="4" t="n"/>
      <c r="L44" s="7" t="n"/>
      <c r="M44" s="3" t="n"/>
      <c r="N44" s="3" t="n"/>
      <c r="O44" s="8" t="n"/>
      <c r="P44" s="3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3" t="n"/>
      <c r="C45" s="4" t="n"/>
      <c r="D45" s="5" t="n"/>
      <c r="E45" s="5" t="n"/>
      <c r="F45" s="5" t="n"/>
      <c r="G45" s="5" t="n"/>
      <c r="H45" s="6" t="n"/>
      <c r="I45" s="7" t="n"/>
      <c r="J45" s="4" t="n"/>
      <c r="K45" s="4" t="n"/>
      <c r="L45" s="7" t="n"/>
      <c r="M45" s="3" t="n"/>
      <c r="N45" s="3" t="n"/>
      <c r="O45" s="10" t="n"/>
      <c r="P45" s="9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3" t="n"/>
      <c r="C46" s="4" t="n"/>
      <c r="D46" s="5" t="n"/>
      <c r="E46" s="5" t="n"/>
      <c r="F46" s="5" t="n"/>
      <c r="G46" s="5" t="n"/>
      <c r="H46" s="6" t="n"/>
      <c r="I46" s="7" t="n"/>
      <c r="J46" s="4" t="n"/>
      <c r="K46" s="4" t="n"/>
      <c r="L46" s="7" t="n"/>
      <c r="M46" s="36" t="n"/>
      <c r="N46" s="36" t="n"/>
      <c r="O46" s="37" t="n"/>
      <c r="P46" s="3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3" t="n"/>
      <c r="C47" s="4" t="n"/>
      <c r="D47" s="5" t="n"/>
      <c r="E47" s="5" t="n"/>
      <c r="F47" s="5" t="n"/>
      <c r="G47" s="5" t="n"/>
      <c r="H47" s="6" t="n"/>
      <c r="I47" s="7" t="n"/>
      <c r="J47" s="4" t="n"/>
      <c r="K47" s="4" t="n"/>
      <c r="L47" s="7" t="n"/>
      <c r="M47" s="3" t="n"/>
      <c r="N47" s="3" t="n"/>
      <c r="O47" s="8" t="n"/>
      <c r="P47" s="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3" t="n"/>
      <c r="C48" s="4" t="n"/>
      <c r="D48" s="5" t="n"/>
      <c r="E48" s="5" t="n"/>
      <c r="F48" s="5" t="n"/>
      <c r="G48" s="5" t="n"/>
      <c r="H48" s="6" t="n"/>
      <c r="I48" s="7" t="n"/>
      <c r="J48" s="7" t="n"/>
      <c r="K48" s="7" t="n"/>
      <c r="L48" s="7" t="n"/>
      <c r="M48" s="318" t="n"/>
      <c r="N48" s="4" t="n"/>
      <c r="O48" s="322" t="n"/>
      <c r="P48" s="31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3" t="n"/>
      <c r="C49" s="4" t="n"/>
      <c r="D49" s="5" t="n"/>
      <c r="E49" s="5" t="n"/>
      <c r="F49" s="5" t="n"/>
      <c r="G49" s="5" t="n"/>
      <c r="H49" s="320" t="n"/>
      <c r="I49" s="320" t="n"/>
      <c r="J49" s="320" t="n"/>
      <c r="K49" s="320" t="n"/>
      <c r="L49" s="320" t="n"/>
      <c r="M49" s="320" t="n"/>
      <c r="N49" s="320" t="n"/>
      <c r="O49" s="320" t="n"/>
      <c r="P49" s="320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3" t="n"/>
      <c r="C50" s="4" t="n"/>
      <c r="D50" s="5" t="n"/>
      <c r="E50" s="5" t="n"/>
      <c r="F50" s="5" t="n"/>
      <c r="G50" s="5" t="n"/>
      <c r="H50" s="6" t="n"/>
      <c r="I50" s="7" t="n"/>
      <c r="J50" s="4" t="n"/>
      <c r="K50" s="4" t="n"/>
      <c r="L50" s="7" t="n"/>
      <c r="M50" s="3" t="n"/>
      <c r="N50" s="3" t="n"/>
      <c r="O50" s="8" t="n"/>
      <c r="P50" s="3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3" t="n"/>
      <c r="C51" s="4" t="n"/>
      <c r="D51" s="5" t="n"/>
      <c r="E51" s="5" t="n"/>
      <c r="F51" s="5" t="n"/>
      <c r="G51" s="5" t="n"/>
      <c r="H51" s="6" t="n"/>
      <c r="I51" s="7" t="n"/>
      <c r="J51" s="4" t="n"/>
      <c r="K51" s="4" t="n"/>
      <c r="L51" s="7" t="n"/>
      <c r="M51" s="3" t="n"/>
      <c r="N51" s="3" t="n"/>
      <c r="O51" s="8" t="n"/>
      <c r="P51" s="3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9" t="n"/>
      <c r="C52" s="4" t="n"/>
      <c r="D52" s="5" t="n"/>
      <c r="E52" s="5" t="n"/>
      <c r="F52" s="5" t="n"/>
      <c r="G52" s="5" t="n"/>
      <c r="H52" s="6" t="n"/>
      <c r="I52" s="7" t="n"/>
      <c r="J52" s="7" t="n"/>
      <c r="K52" s="7" t="n"/>
      <c r="L52" s="7" t="n"/>
      <c r="M52" s="318" t="n"/>
      <c r="N52" s="318" t="n"/>
      <c r="O52" s="319" t="n"/>
      <c r="P52" s="318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9" t="n"/>
      <c r="C53" s="4" t="n"/>
      <c r="D53" s="5" t="n"/>
      <c r="E53" s="5" t="n"/>
      <c r="F53" s="5" t="n"/>
      <c r="G53" s="5" t="n"/>
      <c r="H53" s="321" t="n"/>
      <c r="I53" s="321" t="n"/>
      <c r="J53" s="321" t="n"/>
      <c r="K53" s="321" t="n"/>
      <c r="L53" s="321" t="n"/>
      <c r="M53" s="321" t="n"/>
      <c r="N53" s="321" t="n"/>
      <c r="O53" s="321" t="n"/>
      <c r="P53" s="32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9" t="n"/>
      <c r="C54" s="4" t="n"/>
      <c r="D54" s="5" t="n"/>
      <c r="E54" s="5" t="n"/>
      <c r="F54" s="5" t="n"/>
      <c r="G54" s="5" t="n"/>
      <c r="H54" s="320" t="n"/>
      <c r="I54" s="320" t="n"/>
      <c r="J54" s="320" t="n"/>
      <c r="K54" s="320" t="n"/>
      <c r="L54" s="320" t="n"/>
      <c r="M54" s="320" t="n"/>
      <c r="N54" s="320" t="n"/>
      <c r="O54" s="320" t="n"/>
      <c r="P54" s="320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3" t="n"/>
      <c r="C55" s="4" t="n"/>
      <c r="D55" s="5" t="n"/>
      <c r="E55" s="5" t="n"/>
      <c r="F55" s="5" t="n"/>
      <c r="G55" s="5" t="n"/>
      <c r="H55" s="6" t="n"/>
      <c r="I55" s="7" t="n"/>
      <c r="J55" s="7" t="n"/>
      <c r="K55" s="7" t="n"/>
      <c r="L55" s="7" t="n"/>
      <c r="M55" s="318" t="n"/>
      <c r="N55" s="318" t="n"/>
      <c r="O55" s="318" t="n"/>
      <c r="P55" s="318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3" t="n"/>
      <c r="C56" s="4" t="n"/>
      <c r="D56" s="5" t="n"/>
      <c r="E56" s="5" t="n"/>
      <c r="F56" s="5" t="n"/>
      <c r="G56" s="5" t="n"/>
      <c r="H56" s="320" t="n"/>
      <c r="I56" s="320" t="n"/>
      <c r="J56" s="320" t="n"/>
      <c r="K56" s="320" t="n"/>
      <c r="L56" s="320" t="n"/>
      <c r="M56" s="320" t="n"/>
      <c r="N56" s="320" t="n"/>
      <c r="O56" s="320" t="n"/>
      <c r="P56" s="320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3" t="n"/>
      <c r="C57" s="4" t="n"/>
      <c r="D57" s="5" t="n"/>
      <c r="E57" s="5" t="n"/>
      <c r="F57" s="5" t="n"/>
      <c r="G57" s="5" t="n"/>
      <c r="H57" s="6" t="n"/>
      <c r="I57" s="7" t="n"/>
      <c r="J57" s="4" t="n"/>
      <c r="K57" s="4" t="n"/>
      <c r="L57" s="7" t="n"/>
      <c r="M57" s="3" t="n"/>
      <c r="N57" s="3" t="n"/>
      <c r="O57" s="10" t="n"/>
      <c r="P57" s="9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3" t="n"/>
      <c r="C58" s="4" t="n"/>
      <c r="D58" s="5" t="n"/>
      <c r="E58" s="5" t="n"/>
      <c r="F58" s="5" t="n"/>
      <c r="G58" s="5" t="n"/>
      <c r="H58" s="6" t="n"/>
      <c r="I58" s="7" t="n"/>
      <c r="J58" s="4" t="n"/>
      <c r="K58" s="4" t="n"/>
      <c r="L58" s="7" t="n"/>
      <c r="M58" s="3" t="n"/>
      <c r="N58" s="3" t="n"/>
      <c r="O58" s="8" t="n"/>
      <c r="P58" s="3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28" t="n"/>
      <c r="F59" s="28" t="n"/>
      <c r="G59" s="28" t="n"/>
      <c r="H59" s="28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29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2:$P$59"/>
  <mergeCells count="81">
    <mergeCell ref="M48:M49"/>
    <mergeCell ref="L16:L21"/>
    <mergeCell ref="N16:N21"/>
    <mergeCell ref="H55:H56"/>
    <mergeCell ref="L5:L6"/>
    <mergeCell ref="N5:N6"/>
    <mergeCell ref="L14:L15"/>
    <mergeCell ref="N14:N15"/>
    <mergeCell ref="J55:J56"/>
    <mergeCell ref="O7:O9"/>
    <mergeCell ref="L55:L56"/>
    <mergeCell ref="M52:M54"/>
    <mergeCell ref="I16:I21"/>
    <mergeCell ref="N7:N9"/>
    <mergeCell ref="N48:N49"/>
    <mergeCell ref="P48:P49"/>
    <mergeCell ref="L38:L39"/>
    <mergeCell ref="N38:N39"/>
    <mergeCell ref="O16:O21"/>
    <mergeCell ref="H48:H49"/>
    <mergeCell ref="K55:K56"/>
    <mergeCell ref="H10:H11"/>
    <mergeCell ref="J10:J11"/>
    <mergeCell ref="O5:O6"/>
    <mergeCell ref="H7:H9"/>
    <mergeCell ref="J7:J9"/>
    <mergeCell ref="M10:M11"/>
    <mergeCell ref="J52:J54"/>
    <mergeCell ref="K7:K9"/>
    <mergeCell ref="L52:L54"/>
    <mergeCell ref="I48:I49"/>
    <mergeCell ref="K48:K49"/>
    <mergeCell ref="I38:I39"/>
    <mergeCell ref="H14:H15"/>
    <mergeCell ref="O10:O11"/>
    <mergeCell ref="J14:J15"/>
    <mergeCell ref="M7:M9"/>
    <mergeCell ref="I52:I54"/>
    <mergeCell ref="K52:K54"/>
    <mergeCell ref="K5:K6"/>
    <mergeCell ref="M5:M6"/>
    <mergeCell ref="P10:P11"/>
    <mergeCell ref="J48:J49"/>
    <mergeCell ref="L48:L49"/>
    <mergeCell ref="P38:P39"/>
    <mergeCell ref="H38:H39"/>
    <mergeCell ref="J38:J39"/>
    <mergeCell ref="K16:K21"/>
    <mergeCell ref="O52:O54"/>
    <mergeCell ref="P7:P9"/>
    <mergeCell ref="M55:M56"/>
    <mergeCell ref="M16:M21"/>
    <mergeCell ref="O55:O56"/>
    <mergeCell ref="M14:M15"/>
    <mergeCell ref="P16:P21"/>
    <mergeCell ref="H16:H21"/>
    <mergeCell ref="J16:J21"/>
    <mergeCell ref="I10:I11"/>
    <mergeCell ref="K10:K11"/>
    <mergeCell ref="P5:P6"/>
    <mergeCell ref="O48:O49"/>
    <mergeCell ref="P14:P15"/>
    <mergeCell ref="H5:H6"/>
    <mergeCell ref="J5:J6"/>
    <mergeCell ref="H52:H54"/>
    <mergeCell ref="I7:I9"/>
    <mergeCell ref="N55:N56"/>
    <mergeCell ref="M38:M39"/>
    <mergeCell ref="P55:P56"/>
    <mergeCell ref="O38:O39"/>
    <mergeCell ref="I5:I6"/>
    <mergeCell ref="L10:L11"/>
    <mergeCell ref="I14:I15"/>
    <mergeCell ref="N10:N11"/>
    <mergeCell ref="K14:K15"/>
    <mergeCell ref="L7:L9"/>
    <mergeCell ref="I55:I56"/>
    <mergeCell ref="K38:K39"/>
    <mergeCell ref="O14:O15"/>
    <mergeCell ref="N52:N54"/>
    <mergeCell ref="P52:P54"/>
  </mergeCells>
  <pageMargins left="0.511811024" right="0.511811024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5.44" customWidth="1" style="317" min="1" max="1"/>
    <col width="32.11" customWidth="1" style="317" min="2" max="2"/>
    <col width="5.44" customWidth="1" style="317" min="3" max="3"/>
    <col width="11.89" customWidth="1" style="317" min="4" max="4"/>
    <col width="12.11" customWidth="1" style="317" min="5" max="5"/>
    <col width="12.89" customWidth="1" style="317" min="6" max="6"/>
    <col width="13.56" customWidth="1" style="317" min="7" max="8"/>
    <col width="13.44" customWidth="1" style="317" min="9" max="9"/>
    <col width="13.89" customWidth="1" style="317" min="10" max="10"/>
    <col width="21.11" customWidth="1" style="317" min="11" max="12"/>
    <col width="28.56" customWidth="1" style="317" min="13" max="13"/>
    <col width="13.44" customWidth="1" style="317" min="14" max="14"/>
    <col width="27" customWidth="1" style="317" min="15" max="15"/>
    <col width="77.89" customWidth="1" style="317" min="16" max="16"/>
    <col width="10.89" customWidth="1" style="317" min="17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ENDEREÇO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3" t="n"/>
      <c r="C3" s="4" t="n"/>
      <c r="D3" s="5" t="n"/>
      <c r="E3" s="5" t="n"/>
      <c r="F3" s="5" t="n"/>
      <c r="G3" s="5" t="n"/>
      <c r="H3" s="6" t="n"/>
      <c r="I3" s="7" t="n"/>
      <c r="J3" s="4" t="n"/>
      <c r="K3" s="4" t="n"/>
      <c r="L3" s="7" t="n"/>
      <c r="M3" s="3" t="n"/>
      <c r="N3" s="3" t="n"/>
      <c r="O3" s="10" t="n"/>
      <c r="P3" s="9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3" t="n"/>
      <c r="C4" s="4" t="n"/>
      <c r="D4" s="5" t="n"/>
      <c r="E4" s="5" t="n"/>
      <c r="F4" s="5" t="n"/>
      <c r="G4" s="5" t="n"/>
      <c r="H4" s="6" t="n"/>
      <c r="I4" s="7" t="n"/>
      <c r="J4" s="4" t="n"/>
      <c r="K4" s="4" t="n"/>
      <c r="L4" s="7" t="n"/>
      <c r="M4" s="18" t="n"/>
      <c r="N4" s="18" t="n"/>
      <c r="O4" s="18" t="n"/>
      <c r="P4" s="18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3" t="n"/>
      <c r="C5" s="4" t="n"/>
      <c r="D5" s="5" t="n"/>
      <c r="E5" s="5" t="n"/>
      <c r="F5" s="5" t="n"/>
      <c r="G5" s="5" t="n"/>
      <c r="H5" s="320" t="n"/>
      <c r="I5" s="320" t="n"/>
      <c r="J5" s="320" t="n"/>
      <c r="K5" s="320" t="n"/>
      <c r="L5" s="320" t="n"/>
      <c r="M5" s="320" t="n"/>
      <c r="N5" s="320" t="n"/>
      <c r="O5" s="320" t="n"/>
      <c r="P5" s="320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3" t="n"/>
      <c r="C6" s="4" t="n"/>
      <c r="D6" s="5" t="n"/>
      <c r="E6" s="5" t="n"/>
      <c r="F6" s="5" t="n"/>
      <c r="G6" s="5" t="n"/>
      <c r="H6" s="6" t="n"/>
      <c r="I6" s="7" t="n"/>
      <c r="J6" s="4" t="n"/>
      <c r="K6" s="4" t="n"/>
      <c r="L6" s="7" t="n"/>
      <c r="M6" s="3" t="n"/>
      <c r="N6" s="3" t="n"/>
      <c r="O6" s="10" t="n"/>
      <c r="P6" s="3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3" t="n"/>
      <c r="C7" s="4" t="n"/>
      <c r="D7" s="5" t="n"/>
      <c r="E7" s="5" t="n"/>
      <c r="F7" s="5" t="n"/>
      <c r="G7" s="5" t="n"/>
      <c r="H7" s="6" t="n"/>
      <c r="I7" s="7" t="n"/>
      <c r="J7" s="4" t="n"/>
      <c r="K7" s="4" t="n"/>
      <c r="L7" s="7" t="n"/>
      <c r="M7" s="18" t="n"/>
      <c r="N7" s="18" t="n"/>
      <c r="O7" s="323" t="n"/>
      <c r="P7" s="18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3" t="n"/>
      <c r="C8" s="4" t="n"/>
      <c r="D8" s="5" t="n"/>
      <c r="E8" s="5" t="n"/>
      <c r="F8" s="5" t="n"/>
      <c r="G8" s="5" t="n"/>
      <c r="H8" s="320" t="n"/>
      <c r="I8" s="320" t="n"/>
      <c r="J8" s="320" t="n"/>
      <c r="K8" s="320" t="n"/>
      <c r="L8" s="320" t="n"/>
      <c r="M8" s="320" t="n"/>
      <c r="N8" s="320" t="n"/>
      <c r="O8" s="320" t="n"/>
      <c r="P8" s="320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3" t="n"/>
      <c r="C9" s="4" t="n"/>
      <c r="D9" s="5" t="n"/>
      <c r="E9" s="5" t="n"/>
      <c r="F9" s="5" t="n"/>
      <c r="G9" s="5" t="n"/>
      <c r="H9" s="6" t="n"/>
      <c r="I9" s="7" t="n"/>
      <c r="J9" s="4" t="n"/>
      <c r="K9" s="4" t="n"/>
      <c r="L9" s="7" t="n"/>
      <c r="M9" s="3" t="n"/>
      <c r="N9" s="3" t="n"/>
      <c r="O9" s="10" t="n"/>
      <c r="P9" s="3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3" t="n"/>
      <c r="C10" s="4" t="n"/>
      <c r="D10" s="5" t="n"/>
      <c r="E10" s="5" t="n"/>
      <c r="F10" s="5" t="n"/>
      <c r="G10" s="5" t="n"/>
      <c r="H10" s="6" t="n"/>
      <c r="I10" s="7" t="n"/>
      <c r="J10" s="4" t="n"/>
      <c r="K10" s="26" t="n"/>
      <c r="L10" s="7" t="n"/>
      <c r="M10" s="3" t="n"/>
      <c r="N10" s="3" t="n"/>
      <c r="O10" s="10" t="n"/>
      <c r="P10" s="9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3" t="n"/>
      <c r="C11" s="4" t="n"/>
      <c r="D11" s="5" t="n"/>
      <c r="E11" s="5" t="n"/>
      <c r="F11" s="5" t="n"/>
      <c r="G11" s="5" t="n"/>
      <c r="H11" s="6" t="n"/>
      <c r="I11" s="7" t="n"/>
      <c r="J11" s="4" t="n"/>
      <c r="K11" s="4" t="n"/>
      <c r="L11" s="7" t="n"/>
      <c r="M11" s="3" t="n"/>
      <c r="N11" s="3" t="n"/>
      <c r="O11" s="10" t="n"/>
      <c r="P11" s="9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3" t="n"/>
      <c r="C12" s="4" t="n"/>
      <c r="D12" s="5" t="n"/>
      <c r="E12" s="5" t="n"/>
      <c r="F12" s="5" t="n"/>
      <c r="G12" s="5" t="n"/>
      <c r="H12" s="6" t="n"/>
      <c r="I12" s="7" t="n"/>
      <c r="J12" s="4" t="n"/>
      <c r="K12" s="7" t="n"/>
      <c r="L12" s="7" t="n"/>
      <c r="M12" s="3" t="n"/>
      <c r="N12" s="3" t="n"/>
      <c r="O12" s="3" t="n"/>
      <c r="P12" s="9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3" t="n"/>
      <c r="C13" s="4" t="n"/>
      <c r="D13" s="5" t="n"/>
      <c r="E13" s="5" t="n"/>
      <c r="F13" s="5" t="n"/>
      <c r="G13" s="5" t="n"/>
      <c r="H13" s="6" t="n"/>
      <c r="I13" s="7" t="n"/>
      <c r="J13" s="4" t="n"/>
      <c r="K13" s="4" t="n"/>
      <c r="L13" s="7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3" t="n"/>
      <c r="C14" s="4" t="n"/>
      <c r="D14" s="5" t="n"/>
      <c r="E14" s="5" t="n"/>
      <c r="F14" s="5" t="n"/>
      <c r="G14" s="5" t="n"/>
      <c r="H14" s="6" t="n"/>
      <c r="I14" s="7" t="n"/>
      <c r="J14" s="4" t="n"/>
      <c r="K14" s="4" t="n"/>
      <c r="L14" s="7" t="n"/>
      <c r="M14" s="3" t="n"/>
      <c r="N14" s="3" t="n"/>
      <c r="O14" s="10" t="n"/>
      <c r="P14" s="3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3" t="n"/>
      <c r="C15" s="4" t="n"/>
      <c r="D15" s="5" t="n"/>
      <c r="E15" s="5" t="n"/>
      <c r="F15" s="5" t="n"/>
      <c r="G15" s="5" t="n"/>
      <c r="H15" s="6" t="n"/>
      <c r="I15" s="7" t="n"/>
      <c r="J15" s="4" t="n"/>
      <c r="K15" s="4" t="n"/>
      <c r="L15" s="7" t="n"/>
      <c r="M15" s="3" t="n"/>
      <c r="N15" s="3" t="n"/>
      <c r="O15" s="10" t="n"/>
      <c r="P15" s="3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3" t="n"/>
      <c r="C16" s="4" t="n"/>
      <c r="D16" s="5" t="n"/>
      <c r="E16" s="5" t="n"/>
      <c r="F16" s="5" t="n"/>
      <c r="G16" s="5" t="n"/>
      <c r="H16" s="6" t="n"/>
      <c r="I16" s="7" t="n"/>
      <c r="J16" s="4" t="n"/>
      <c r="K16" s="4" t="n"/>
      <c r="L16" s="7" t="n"/>
      <c r="M16" s="3" t="n"/>
      <c r="N16" s="3" t="n"/>
      <c r="O16" s="10" t="n"/>
      <c r="P16" s="3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33.75" customHeight="1" s="317">
      <c r="A17" s="1" t="n"/>
      <c r="B17" s="3" t="n"/>
      <c r="C17" s="4" t="n"/>
      <c r="D17" s="5" t="n"/>
      <c r="E17" s="5" t="n"/>
      <c r="F17" s="5" t="n"/>
      <c r="G17" s="5" t="n"/>
      <c r="H17" s="6" t="n"/>
      <c r="I17" s="7" t="n"/>
      <c r="J17" s="4" t="n"/>
      <c r="K17" s="4" t="n"/>
      <c r="L17" s="7" t="n"/>
      <c r="M17" s="18" t="n"/>
      <c r="N17" s="4" t="n"/>
      <c r="O17" s="4" t="n"/>
      <c r="P17" s="22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3" t="n"/>
      <c r="C18" s="4" t="n"/>
      <c r="D18" s="5" t="n"/>
      <c r="E18" s="5" t="n"/>
      <c r="F18" s="5" t="n"/>
      <c r="G18" s="5" t="n"/>
      <c r="H18" s="320" t="n"/>
      <c r="I18" s="320" t="n"/>
      <c r="J18" s="320" t="n"/>
      <c r="K18" s="320" t="n"/>
      <c r="L18" s="320" t="n"/>
      <c r="M18" s="320" t="n"/>
      <c r="N18" s="320" t="n"/>
      <c r="O18" s="320" t="n"/>
      <c r="P18" s="320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3" t="n"/>
      <c r="C19" s="4" t="n"/>
      <c r="D19" s="5" t="n"/>
      <c r="E19" s="5" t="n"/>
      <c r="F19" s="5" t="n"/>
      <c r="G19" s="5" t="n"/>
      <c r="H19" s="6" t="n"/>
      <c r="I19" s="7" t="n"/>
      <c r="J19" s="4" t="n"/>
      <c r="K19" s="4" t="n"/>
      <c r="L19" s="7" t="n"/>
      <c r="M19" s="9" t="n"/>
      <c r="N19" s="3" t="n"/>
      <c r="O19" s="3" t="n"/>
      <c r="P19" s="9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3" t="n"/>
      <c r="C20" s="4" t="n"/>
      <c r="D20" s="5" t="n"/>
      <c r="E20" s="5" t="n"/>
      <c r="F20" s="5" t="n"/>
      <c r="G20" s="5" t="n"/>
      <c r="H20" s="6" t="n"/>
      <c r="I20" s="7" t="n"/>
      <c r="J20" s="4" t="n"/>
      <c r="K20" s="4" t="n"/>
      <c r="L20" s="7" t="n"/>
      <c r="M20" s="9" t="n"/>
      <c r="N20" s="3" t="n"/>
      <c r="O20" s="3" t="n"/>
      <c r="P20" s="9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3" t="n"/>
      <c r="C21" s="4" t="n"/>
      <c r="D21" s="5" t="n"/>
      <c r="E21" s="5" t="n"/>
      <c r="F21" s="5" t="n"/>
      <c r="G21" s="5" t="n"/>
      <c r="H21" s="6" t="n"/>
      <c r="I21" s="7" t="n"/>
      <c r="J21" s="4" t="n"/>
      <c r="K21" s="4" t="n"/>
      <c r="L21" s="7" t="n"/>
      <c r="M21" s="9" t="n"/>
      <c r="N21" s="3" t="n"/>
      <c r="O21" s="3" t="n"/>
      <c r="P21" s="9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3" t="n"/>
      <c r="C22" s="4" t="n"/>
      <c r="D22" s="5" t="n"/>
      <c r="E22" s="5" t="n"/>
      <c r="F22" s="5" t="n"/>
      <c r="G22" s="5" t="n"/>
      <c r="H22" s="6" t="n"/>
      <c r="I22" s="7" t="n"/>
      <c r="J22" s="4" t="n"/>
      <c r="K22" s="4" t="n"/>
      <c r="L22" s="7" t="n"/>
      <c r="M22" s="18" t="n"/>
      <c r="N22" s="4" t="n"/>
      <c r="O22" s="324" t="n"/>
      <c r="P22" s="2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3" t="n"/>
      <c r="C23" s="4" t="n"/>
      <c r="D23" s="5" t="n"/>
      <c r="E23" s="5" t="n"/>
      <c r="F23" s="5" t="n"/>
      <c r="G23" s="5" t="n"/>
      <c r="H23" s="320" t="n"/>
      <c r="I23" s="320" t="n"/>
      <c r="J23" s="320" t="n"/>
      <c r="K23" s="320" t="n"/>
      <c r="L23" s="320" t="n"/>
      <c r="M23" s="320" t="n"/>
      <c r="N23" s="320" t="n"/>
      <c r="O23" s="320" t="n"/>
      <c r="P23" s="320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3" t="n"/>
      <c r="C24" s="4" t="n"/>
      <c r="D24" s="5" t="n"/>
      <c r="E24" s="5" t="n"/>
      <c r="F24" s="5" t="n"/>
      <c r="G24" s="5" t="n"/>
      <c r="H24" s="6" t="n"/>
      <c r="I24" s="7" t="n"/>
      <c r="J24" s="4" t="n"/>
      <c r="K24" s="4" t="n"/>
      <c r="L24" s="7" t="n"/>
      <c r="M24" s="9" t="n"/>
      <c r="N24" s="3" t="n"/>
      <c r="O24" s="3" t="n"/>
      <c r="P24" s="9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3" t="n"/>
      <c r="C25" s="4" t="n"/>
      <c r="D25" s="5" t="n"/>
      <c r="E25" s="5" t="n"/>
      <c r="F25" s="5" t="n"/>
      <c r="G25" s="5" t="n"/>
      <c r="H25" s="6" t="n"/>
      <c r="I25" s="7" t="n"/>
      <c r="J25" s="4" t="n"/>
      <c r="K25" s="4" t="n"/>
      <c r="L25" s="7" t="n"/>
      <c r="M25" s="3" t="n"/>
      <c r="N25" s="3" t="n"/>
      <c r="O25" s="10" t="n"/>
      <c r="P25" s="3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3" t="n"/>
      <c r="C26" s="4" t="n"/>
      <c r="D26" s="5" t="n"/>
      <c r="E26" s="5" t="n"/>
      <c r="F26" s="5" t="n"/>
      <c r="G26" s="5" t="n"/>
      <c r="H26" s="6" t="n"/>
      <c r="I26" s="7" t="n"/>
      <c r="J26" s="4" t="n"/>
      <c r="K26" s="4" t="n"/>
      <c r="L26" s="7" t="n"/>
      <c r="M26" s="3" t="n"/>
      <c r="N26" s="3" t="n"/>
      <c r="O26" s="10" t="n"/>
      <c r="P26" s="9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3" t="n"/>
      <c r="C27" s="4" t="n"/>
      <c r="D27" s="5" t="n"/>
      <c r="E27" s="5" t="n"/>
      <c r="F27" s="5" t="n"/>
      <c r="G27" s="5" t="n"/>
      <c r="H27" s="6" t="n"/>
      <c r="I27" s="7" t="n"/>
      <c r="J27" s="4" t="n"/>
      <c r="K27" s="4" t="n"/>
      <c r="L27" s="7" t="n"/>
      <c r="M27" s="3" t="n"/>
      <c r="N27" s="3" t="n"/>
      <c r="O27" s="10" t="n"/>
      <c r="P27" s="9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3" t="n"/>
      <c r="C28" s="4" t="n"/>
      <c r="D28" s="5" t="n"/>
      <c r="E28" s="5" t="n"/>
      <c r="F28" s="5" t="n"/>
      <c r="G28" s="5" t="n"/>
      <c r="H28" s="6" t="n"/>
      <c r="I28" s="7" t="n"/>
      <c r="J28" s="4" t="n"/>
      <c r="K28" s="4" t="n"/>
      <c r="L28" s="7" t="n"/>
      <c r="M28" s="3" t="n"/>
      <c r="N28" s="3" t="n"/>
      <c r="O28" s="8" t="n"/>
      <c r="P28" s="3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3" t="n"/>
      <c r="C29" s="4" t="n"/>
      <c r="D29" s="5" t="n"/>
      <c r="E29" s="5" t="n"/>
      <c r="F29" s="5" t="n"/>
      <c r="G29" s="5" t="n"/>
      <c r="H29" s="6" t="n"/>
      <c r="I29" s="7" t="n"/>
      <c r="J29" s="4" t="n"/>
      <c r="K29" s="4" t="n"/>
      <c r="L29" s="7" t="n"/>
      <c r="M29" s="3" t="n"/>
      <c r="N29" s="3" t="n"/>
      <c r="O29" s="8" t="n"/>
      <c r="P29" s="3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3" t="n"/>
      <c r="C30" s="4" t="n"/>
      <c r="D30" s="5" t="n"/>
      <c r="E30" s="5" t="n"/>
      <c r="F30" s="5" t="n"/>
      <c r="G30" s="5" t="n"/>
      <c r="H30" s="6" t="n"/>
      <c r="I30" s="7" t="n"/>
      <c r="J30" s="4" t="n"/>
      <c r="K30" s="4" t="n"/>
      <c r="L30" s="7" t="n"/>
      <c r="M30" s="3" t="n"/>
      <c r="N30" s="3" t="n"/>
      <c r="O30" s="8" t="n"/>
      <c r="P30" s="3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3" t="n"/>
      <c r="C31" s="4" t="n"/>
      <c r="D31" s="5" t="n"/>
      <c r="E31" s="5" t="n"/>
      <c r="F31" s="5" t="n"/>
      <c r="G31" s="5" t="n"/>
      <c r="H31" s="6" t="n"/>
      <c r="I31" s="7" t="n"/>
      <c r="J31" s="4" t="n"/>
      <c r="K31" s="4" t="n"/>
      <c r="L31" s="7" t="n"/>
      <c r="M31" s="18" t="n"/>
      <c r="N31" s="4" t="n"/>
      <c r="O31" s="323" t="n"/>
      <c r="P31" s="325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3" t="n"/>
      <c r="C32" s="4" t="n"/>
      <c r="D32" s="5" t="n"/>
      <c r="E32" s="5" t="n"/>
      <c r="F32" s="5" t="n"/>
      <c r="G32" s="5" t="n"/>
      <c r="H32" s="321" t="n"/>
      <c r="I32" s="321" t="n"/>
      <c r="J32" s="321" t="n"/>
      <c r="K32" s="321" t="n"/>
      <c r="L32" s="321" t="n"/>
      <c r="M32" s="321" t="n"/>
      <c r="N32" s="321" t="n"/>
      <c r="O32" s="321" t="n"/>
      <c r="P32" s="32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3" t="n"/>
      <c r="C33" s="4" t="n"/>
      <c r="D33" s="5" t="n"/>
      <c r="E33" s="5" t="n"/>
      <c r="F33" s="5" t="n"/>
      <c r="G33" s="5" t="n"/>
      <c r="H33" s="320" t="n"/>
      <c r="I33" s="320" t="n"/>
      <c r="J33" s="320" t="n"/>
      <c r="K33" s="320" t="n"/>
      <c r="L33" s="320" t="n"/>
      <c r="M33" s="320" t="n"/>
      <c r="N33" s="320" t="n"/>
      <c r="O33" s="320" t="n"/>
      <c r="P33" s="320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3" t="n"/>
      <c r="C34" s="4" t="n"/>
      <c r="D34" s="5" t="n"/>
      <c r="E34" s="5" t="n"/>
      <c r="F34" s="5" t="n"/>
      <c r="G34" s="5" t="n"/>
      <c r="H34" s="6" t="n"/>
      <c r="I34" s="7" t="n"/>
      <c r="J34" s="4" t="n"/>
      <c r="K34" s="4" t="n"/>
      <c r="L34" s="7" t="n"/>
      <c r="M34" s="3" t="n"/>
      <c r="N34" s="3" t="n"/>
      <c r="O34" s="8" t="n"/>
      <c r="P34" s="3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3.75" customHeight="1" s="317">
      <c r="A35" s="1" t="n"/>
      <c r="B35" s="3" t="n"/>
      <c r="C35" s="4" t="n"/>
      <c r="D35" s="5" t="n"/>
      <c r="E35" s="5" t="n"/>
      <c r="F35" s="5" t="n"/>
      <c r="G35" s="5" t="n"/>
      <c r="H35" s="6" t="n"/>
      <c r="I35" s="7" t="n"/>
      <c r="J35" s="4" t="n"/>
      <c r="K35" s="4" t="n"/>
      <c r="L35" s="7" t="n"/>
      <c r="M35" s="22" t="n"/>
      <c r="N35" s="18" t="n"/>
      <c r="O35" s="4" t="n"/>
      <c r="P35" s="2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33.75" customHeight="1" s="317">
      <c r="A36" s="1" t="n"/>
      <c r="B36" s="3" t="n"/>
      <c r="C36" s="4" t="n"/>
      <c r="D36" s="5" t="n"/>
      <c r="E36" s="5" t="n"/>
      <c r="F36" s="5" t="n"/>
      <c r="G36" s="5" t="n"/>
      <c r="H36" s="320" t="n"/>
      <c r="I36" s="320" t="n"/>
      <c r="J36" s="320" t="n"/>
      <c r="K36" s="320" t="n"/>
      <c r="L36" s="320" t="n"/>
      <c r="M36" s="320" t="n"/>
      <c r="N36" s="320" t="n"/>
      <c r="O36" s="320" t="n"/>
      <c r="P36" s="320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3" t="n"/>
      <c r="C37" s="4" t="n"/>
      <c r="D37" s="5" t="n"/>
      <c r="E37" s="5" t="n"/>
      <c r="F37" s="5" t="n"/>
      <c r="G37" s="5" t="n"/>
      <c r="H37" s="6" t="n"/>
      <c r="I37" s="7" t="n"/>
      <c r="J37" s="4" t="n"/>
      <c r="K37" s="4" t="n"/>
      <c r="L37" s="7" t="n"/>
      <c r="M37" s="18" t="n"/>
      <c r="N37" s="18" t="n"/>
      <c r="O37" s="326" t="n"/>
      <c r="P37" s="326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3" t="n"/>
      <c r="C38" s="4" t="n"/>
      <c r="D38" s="5" t="n"/>
      <c r="E38" s="5" t="n"/>
      <c r="F38" s="5" t="n"/>
      <c r="G38" s="5" t="n"/>
      <c r="H38" s="320" t="n"/>
      <c r="I38" s="320" t="n"/>
      <c r="J38" s="320" t="n"/>
      <c r="K38" s="320" t="n"/>
      <c r="L38" s="320" t="n"/>
      <c r="M38" s="320" t="n"/>
      <c r="N38" s="320" t="n"/>
      <c r="O38" s="320" t="n"/>
      <c r="P38" s="320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3" t="n"/>
      <c r="C39" s="4" t="n"/>
      <c r="D39" s="5" t="n"/>
      <c r="E39" s="5" t="n"/>
      <c r="F39" s="5" t="n"/>
      <c r="G39" s="5" t="n"/>
      <c r="H39" s="6" t="n"/>
      <c r="I39" s="7" t="n"/>
      <c r="J39" s="4" t="n"/>
      <c r="K39" s="4" t="n"/>
      <c r="L39" s="7" t="n"/>
      <c r="M39" s="3" t="n"/>
      <c r="N39" s="3" t="n"/>
      <c r="O39" s="8" t="n"/>
      <c r="P39" s="3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3" t="n"/>
      <c r="C40" s="4" t="n"/>
      <c r="D40" s="5" t="n"/>
      <c r="E40" s="5" t="n"/>
      <c r="F40" s="5" t="n"/>
      <c r="G40" s="5" t="n"/>
      <c r="H40" s="6" t="n"/>
      <c r="I40" s="7" t="n"/>
      <c r="J40" s="4" t="n"/>
      <c r="K40" s="4" t="n"/>
      <c r="L40" s="7" t="n"/>
      <c r="M40" s="18" t="n"/>
      <c r="N40" s="3" t="n"/>
      <c r="O40" s="10" t="n"/>
      <c r="P40" s="3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3" t="n"/>
      <c r="C41" s="4" t="n"/>
      <c r="D41" s="5" t="n"/>
      <c r="E41" s="5" t="n"/>
      <c r="F41" s="5" t="n"/>
      <c r="G41" s="5" t="n"/>
      <c r="H41" s="6" t="n"/>
      <c r="I41" s="7" t="n"/>
      <c r="J41" s="4" t="n"/>
      <c r="K41" s="4" t="n"/>
      <c r="L41" s="7" t="n"/>
      <c r="M41" s="3" t="n"/>
      <c r="N41" s="3" t="n"/>
      <c r="O41" s="10" t="n"/>
      <c r="P41" s="9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3" t="n"/>
      <c r="C42" s="4" t="n"/>
      <c r="D42" s="5" t="n"/>
      <c r="E42" s="5" t="n"/>
      <c r="F42" s="5" t="n"/>
      <c r="G42" s="5" t="n"/>
      <c r="H42" s="6" t="n"/>
      <c r="I42" s="7" t="n"/>
      <c r="J42" s="4" t="n"/>
      <c r="K42" s="4" t="n"/>
      <c r="L42" s="7" t="n"/>
      <c r="M42" s="3" t="n"/>
      <c r="N42" s="3" t="n"/>
      <c r="O42" s="8" t="n"/>
      <c r="P42" s="3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3" t="n"/>
      <c r="C43" s="4" t="n"/>
      <c r="D43" s="5" t="n"/>
      <c r="E43" s="5" t="n"/>
      <c r="F43" s="5" t="n"/>
      <c r="G43" s="5" t="n"/>
      <c r="H43" s="6" t="n"/>
      <c r="I43" s="7" t="n"/>
      <c r="J43" s="4" t="n"/>
      <c r="K43" s="4" t="n"/>
      <c r="L43" s="7" t="n"/>
      <c r="M43" s="3" t="n"/>
      <c r="N43" s="3" t="n"/>
      <c r="O43" s="10" t="n"/>
      <c r="P43" s="3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3" t="n"/>
      <c r="C44" s="4" t="n"/>
      <c r="D44" s="5" t="n"/>
      <c r="E44" s="5" t="n"/>
      <c r="F44" s="5" t="n"/>
      <c r="G44" s="5" t="n"/>
      <c r="H44" s="6" t="n"/>
      <c r="I44" s="7" t="n"/>
      <c r="J44" s="4" t="n"/>
      <c r="K44" s="4" t="n"/>
      <c r="L44" s="7" t="n"/>
      <c r="M44" s="18" t="n"/>
      <c r="N44" s="3" t="n"/>
      <c r="O44" s="10" t="n"/>
      <c r="P44" s="9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3" t="n"/>
      <c r="C45" s="4" t="n"/>
      <c r="D45" s="5" t="n"/>
      <c r="E45" s="5" t="n"/>
      <c r="F45" s="5" t="n"/>
      <c r="G45" s="5" t="n"/>
      <c r="H45" s="6" t="n"/>
      <c r="I45" s="7" t="n"/>
      <c r="J45" s="4" t="n"/>
      <c r="K45" s="4" t="n"/>
      <c r="L45" s="7" t="n"/>
      <c r="M45" s="3" t="n"/>
      <c r="N45" s="3" t="n"/>
      <c r="O45" s="8" t="n"/>
      <c r="P45" s="3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3" t="n"/>
      <c r="C46" s="4" t="n"/>
      <c r="D46" s="5" t="n"/>
      <c r="E46" s="5" t="n"/>
      <c r="F46" s="5" t="n"/>
      <c r="G46" s="5" t="n"/>
      <c r="H46" s="6" t="n"/>
      <c r="I46" s="7" t="n"/>
      <c r="J46" s="4" t="n"/>
      <c r="K46" s="4" t="n"/>
      <c r="L46" s="7" t="n"/>
      <c r="M46" s="3" t="n"/>
      <c r="N46" s="3" t="n"/>
      <c r="O46" s="8" t="n"/>
      <c r="P46" s="3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3" t="n"/>
      <c r="C47" s="4" t="n"/>
      <c r="D47" s="5" t="n"/>
      <c r="E47" s="5" t="n"/>
      <c r="F47" s="5" t="n"/>
      <c r="G47" s="5" t="n"/>
      <c r="H47" s="6" t="n"/>
      <c r="I47" s="7" t="n"/>
      <c r="J47" s="4" t="n"/>
      <c r="K47" s="4" t="n"/>
      <c r="L47" s="7" t="n"/>
      <c r="M47" s="3" t="n"/>
      <c r="N47" s="3" t="n"/>
      <c r="O47" s="8" t="n"/>
      <c r="P47" s="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3" t="n"/>
      <c r="C48" s="4" t="n"/>
      <c r="D48" s="5" t="n"/>
      <c r="E48" s="5" t="n"/>
      <c r="F48" s="5" t="n"/>
      <c r="G48" s="5" t="n"/>
      <c r="H48" s="6" t="n"/>
      <c r="I48" s="7" t="n"/>
      <c r="J48" s="4" t="n"/>
      <c r="K48" s="4" t="n"/>
      <c r="L48" s="7" t="n"/>
      <c r="M48" s="18" t="n"/>
      <c r="N48" s="18" t="n"/>
      <c r="O48" s="323" t="n"/>
      <c r="P48" s="1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3" t="n"/>
      <c r="C49" s="4" t="n"/>
      <c r="D49" s="5" t="n"/>
      <c r="E49" s="5" t="n"/>
      <c r="F49" s="5" t="n"/>
      <c r="G49" s="5" t="n"/>
      <c r="H49" s="320" t="n"/>
      <c r="I49" s="320" t="n"/>
      <c r="J49" s="320" t="n"/>
      <c r="K49" s="320" t="n"/>
      <c r="L49" s="320" t="n"/>
      <c r="M49" s="320" t="n"/>
      <c r="N49" s="320" t="n"/>
      <c r="O49" s="320" t="n"/>
      <c r="P49" s="320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3" t="n"/>
      <c r="C50" s="4" t="n"/>
      <c r="D50" s="5" t="n"/>
      <c r="E50" s="5" t="n"/>
      <c r="F50" s="5" t="n"/>
      <c r="G50" s="5" t="n"/>
      <c r="H50" s="6" t="n"/>
      <c r="I50" s="7" t="n"/>
      <c r="J50" s="4" t="n"/>
      <c r="K50" s="4" t="n"/>
      <c r="L50" s="7" t="n"/>
      <c r="M50" s="3" t="n"/>
      <c r="N50" s="3" t="n"/>
      <c r="O50" s="8" t="n"/>
      <c r="P50" s="3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3" t="n"/>
      <c r="C51" s="4" t="n"/>
      <c r="D51" s="5" t="n"/>
      <c r="E51" s="5" t="n"/>
      <c r="F51" s="5" t="n"/>
      <c r="G51" s="5" t="n"/>
      <c r="H51" s="6" t="n"/>
      <c r="I51" s="7" t="n"/>
      <c r="J51" s="4" t="n"/>
      <c r="K51" s="4" t="n"/>
      <c r="L51" s="7" t="n"/>
      <c r="M51" s="3" t="n"/>
      <c r="N51" s="3" t="n"/>
      <c r="O51" s="8" t="n"/>
      <c r="P51" s="3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3" t="n"/>
      <c r="C52" s="4" t="n"/>
      <c r="D52" s="5" t="n"/>
      <c r="E52" s="5" t="n"/>
      <c r="F52" s="5" t="n"/>
      <c r="G52" s="5" t="n"/>
      <c r="H52" s="6" t="n"/>
      <c r="I52" s="7" t="n"/>
      <c r="J52" s="4" t="n"/>
      <c r="K52" s="4" t="n"/>
      <c r="L52" s="7" t="n"/>
      <c r="M52" s="3" t="n"/>
      <c r="N52" s="3" t="n"/>
      <c r="O52" s="10" t="n"/>
      <c r="P52" s="3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3" t="n"/>
      <c r="C53" s="4" t="n"/>
      <c r="D53" s="5" t="n"/>
      <c r="E53" s="5" t="n"/>
      <c r="F53" s="5" t="n"/>
      <c r="G53" s="5" t="n"/>
      <c r="H53" s="6" t="n"/>
      <c r="I53" s="7" t="n"/>
      <c r="J53" s="4" t="n"/>
      <c r="K53" s="4" t="n"/>
      <c r="L53" s="7" t="n"/>
      <c r="M53" s="3" t="n"/>
      <c r="N53" s="3" t="n"/>
      <c r="O53" s="10" t="n"/>
      <c r="P53" s="3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3" t="n"/>
      <c r="C54" s="4" t="n"/>
      <c r="D54" s="5" t="n"/>
      <c r="E54" s="5" t="n"/>
      <c r="F54" s="5" t="n"/>
      <c r="G54" s="5" t="n"/>
      <c r="H54" s="6" t="n"/>
      <c r="I54" s="7" t="n"/>
      <c r="J54" s="4" t="n"/>
      <c r="K54" s="4" t="n"/>
      <c r="L54" s="7" t="n"/>
      <c r="M54" s="18" t="n"/>
      <c r="N54" s="18" t="n"/>
      <c r="O54" s="323" t="n"/>
      <c r="P54" s="4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3" t="n"/>
      <c r="C55" s="4" t="n"/>
      <c r="D55" s="5" t="n"/>
      <c r="E55" s="5" t="n"/>
      <c r="F55" s="5" t="n"/>
      <c r="G55" s="5" t="n"/>
      <c r="H55" s="320" t="n"/>
      <c r="I55" s="320" t="n"/>
      <c r="J55" s="320" t="n"/>
      <c r="K55" s="320" t="n"/>
      <c r="L55" s="320" t="n"/>
      <c r="M55" s="320" t="n"/>
      <c r="N55" s="320" t="n"/>
      <c r="O55" s="320" t="n"/>
      <c r="P55" s="320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28" t="n"/>
      <c r="F56" s="28" t="n"/>
      <c r="G56" s="28" t="n"/>
      <c r="H56" s="28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29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2:$P$56"/>
  <mergeCells count="81">
    <mergeCell ref="O31:O33"/>
    <mergeCell ref="I54:I55"/>
    <mergeCell ref="P35:P36"/>
    <mergeCell ref="K54:K55"/>
    <mergeCell ref="N22:N23"/>
    <mergeCell ref="M48:M49"/>
    <mergeCell ref="P22:P23"/>
    <mergeCell ref="M54:M55"/>
    <mergeCell ref="O54:O55"/>
    <mergeCell ref="M7:M8"/>
    <mergeCell ref="J4:J5"/>
    <mergeCell ref="L4:L5"/>
    <mergeCell ref="I17:I18"/>
    <mergeCell ref="P7:P8"/>
    <mergeCell ref="N48:N49"/>
    <mergeCell ref="P48:P49"/>
    <mergeCell ref="M17:M18"/>
    <mergeCell ref="O17:O18"/>
    <mergeCell ref="J22:J23"/>
    <mergeCell ref="H37:H38"/>
    <mergeCell ref="H31:H33"/>
    <mergeCell ref="I35:I36"/>
    <mergeCell ref="H48:H49"/>
    <mergeCell ref="K37:K38"/>
    <mergeCell ref="O4:O5"/>
    <mergeCell ref="I7:I8"/>
    <mergeCell ref="H17:H18"/>
    <mergeCell ref="I31:I33"/>
    <mergeCell ref="H22:H23"/>
    <mergeCell ref="O22:O23"/>
    <mergeCell ref="M37:M38"/>
    <mergeCell ref="J35:J36"/>
    <mergeCell ref="L35:L36"/>
    <mergeCell ref="I48:I49"/>
    <mergeCell ref="L22:L23"/>
    <mergeCell ref="K48:K49"/>
    <mergeCell ref="K17:K18"/>
    <mergeCell ref="P37:P38"/>
    <mergeCell ref="P31:P33"/>
    <mergeCell ref="H4:H5"/>
    <mergeCell ref="N54:N55"/>
    <mergeCell ref="L7:L8"/>
    <mergeCell ref="P54:P55"/>
    <mergeCell ref="N7:N8"/>
    <mergeCell ref="H54:H55"/>
    <mergeCell ref="J48:J49"/>
    <mergeCell ref="L48:L49"/>
    <mergeCell ref="O35:O36"/>
    <mergeCell ref="N17:N18"/>
    <mergeCell ref="P17:P18"/>
    <mergeCell ref="I37:I38"/>
    <mergeCell ref="K4:K5"/>
    <mergeCell ref="O7:O8"/>
    <mergeCell ref="O48:O49"/>
    <mergeCell ref="N4:N5"/>
    <mergeCell ref="P4:P5"/>
    <mergeCell ref="H35:H36"/>
    <mergeCell ref="J37:J38"/>
    <mergeCell ref="L37:L38"/>
    <mergeCell ref="J31:J33"/>
    <mergeCell ref="N37:N38"/>
    <mergeCell ref="K35:K36"/>
    <mergeCell ref="L31:L33"/>
    <mergeCell ref="I22:I23"/>
    <mergeCell ref="N31:N33"/>
    <mergeCell ref="M35:M36"/>
    <mergeCell ref="K22:K23"/>
    <mergeCell ref="M22:M23"/>
    <mergeCell ref="H7:H8"/>
    <mergeCell ref="J54:J55"/>
    <mergeCell ref="J7:J8"/>
    <mergeCell ref="L54:L55"/>
    <mergeCell ref="I4:I5"/>
    <mergeCell ref="K7:K8"/>
    <mergeCell ref="M4:M5"/>
    <mergeCell ref="J17:J18"/>
    <mergeCell ref="K31:K33"/>
    <mergeCell ref="L17:L18"/>
    <mergeCell ref="M31:M33"/>
    <mergeCell ref="O37:O38"/>
    <mergeCell ref="N35:N36"/>
  </mergeCells>
  <pageMargins left="0.511811024" right="0.511811024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5.44" customWidth="1" style="317" min="1" max="1"/>
    <col width="32.11" customWidth="1" style="317" min="2" max="2"/>
    <col width="5.44" customWidth="1" style="317" min="3" max="3"/>
    <col width="11.89" customWidth="1" style="317" min="4" max="4"/>
    <col width="12.11" customWidth="1" style="317" min="5" max="5"/>
    <col width="12.89" customWidth="1" style="317" min="6" max="6"/>
    <col width="13.56" customWidth="1" style="317" min="7" max="8"/>
    <col width="13.44" customWidth="1" style="317" min="9" max="9"/>
    <col width="13.89" customWidth="1" style="317" min="10" max="10"/>
    <col width="21.11" customWidth="1" style="317" min="11" max="11"/>
    <col width="21" customWidth="1" style="317" min="12" max="12"/>
    <col width="30" customWidth="1" style="317" min="13" max="13"/>
    <col width="13.44" customWidth="1" style="317" min="14" max="14"/>
    <col width="27" customWidth="1" style="317" min="15" max="15"/>
    <col width="52" customWidth="1" style="317" min="16" max="16"/>
    <col width="10.89" customWidth="1" style="317" min="17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3" t="n"/>
      <c r="C3" s="4" t="n"/>
      <c r="D3" s="5" t="n"/>
      <c r="E3" s="5" t="n"/>
      <c r="F3" s="5" t="n"/>
      <c r="G3" s="5" t="n"/>
      <c r="H3" s="6" t="n"/>
      <c r="I3" s="7" t="n"/>
      <c r="J3" s="4" t="n"/>
      <c r="K3" s="4" t="n"/>
      <c r="L3" s="7" t="n"/>
      <c r="M3" s="3" t="n"/>
      <c r="N3" s="3" t="n"/>
      <c r="O3" s="8" t="n"/>
      <c r="P3" s="9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3" t="n"/>
      <c r="C4" s="4" t="n"/>
      <c r="D4" s="5" t="n"/>
      <c r="E4" s="5" t="n"/>
      <c r="F4" s="5" t="n"/>
      <c r="G4" s="5" t="n"/>
      <c r="H4" s="6" t="n"/>
      <c r="I4" s="7" t="n"/>
      <c r="J4" s="4" t="n"/>
      <c r="K4" s="4" t="n"/>
      <c r="L4" s="7" t="n"/>
      <c r="M4" s="3" t="n"/>
      <c r="N4" s="3" t="n"/>
      <c r="O4" s="8" t="n"/>
      <c r="P4" s="9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3" t="n"/>
      <c r="C5" s="4" t="n"/>
      <c r="D5" s="5" t="n"/>
      <c r="E5" s="5" t="n"/>
      <c r="F5" s="5" t="n"/>
      <c r="G5" s="5" t="n"/>
      <c r="H5" s="6" t="n"/>
      <c r="I5" s="7" t="n"/>
      <c r="J5" s="4" t="n"/>
      <c r="K5" s="4" t="n"/>
      <c r="L5" s="7" t="n"/>
      <c r="M5" s="3" t="n"/>
      <c r="N5" s="3" t="n"/>
      <c r="O5" s="8" t="n"/>
      <c r="P5" s="3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3" t="n"/>
      <c r="C6" s="4" t="n"/>
      <c r="D6" s="5" t="n"/>
      <c r="E6" s="5" t="n"/>
      <c r="F6" s="5" t="n"/>
      <c r="G6" s="5" t="n"/>
      <c r="H6" s="6" t="n"/>
      <c r="I6" s="7" t="n"/>
      <c r="J6" s="4" t="n"/>
      <c r="K6" s="4" t="n"/>
      <c r="L6" s="7" t="n"/>
      <c r="M6" s="3" t="n"/>
      <c r="N6" s="3" t="n"/>
      <c r="O6" s="8" t="n"/>
      <c r="P6" s="9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3" t="n"/>
      <c r="C7" s="4" t="n"/>
      <c r="D7" s="5" t="n"/>
      <c r="E7" s="5" t="n"/>
      <c r="F7" s="5" t="n"/>
      <c r="G7" s="5" t="n"/>
      <c r="H7" s="6" t="n"/>
      <c r="I7" s="7" t="n"/>
      <c r="J7" s="4" t="n"/>
      <c r="K7" s="4" t="n"/>
      <c r="L7" s="7" t="n"/>
      <c r="M7" s="3" t="n"/>
      <c r="N7" s="3" t="n"/>
      <c r="O7" s="8" t="n"/>
      <c r="P7" s="9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3" t="n"/>
      <c r="C8" s="4" t="n"/>
      <c r="D8" s="5" t="n"/>
      <c r="E8" s="5" t="n"/>
      <c r="F8" s="5" t="n"/>
      <c r="G8" s="5" t="n"/>
      <c r="H8" s="6" t="n"/>
      <c r="I8" s="7" t="n"/>
      <c r="J8" s="4" t="n"/>
      <c r="K8" s="7" t="n"/>
      <c r="L8" s="7" t="n"/>
      <c r="M8" s="3" t="n"/>
      <c r="N8" s="3" t="n"/>
      <c r="O8" s="3" t="n"/>
      <c r="P8" s="9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3" t="n"/>
      <c r="C9" s="4" t="n"/>
      <c r="D9" s="5" t="n"/>
      <c r="E9" s="5" t="n"/>
      <c r="F9" s="5" t="n"/>
      <c r="G9" s="5" t="n"/>
      <c r="H9" s="6" t="n"/>
      <c r="I9" s="7" t="n"/>
      <c r="J9" s="4" t="n"/>
      <c r="K9" s="4" t="n"/>
      <c r="L9" s="7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3" t="n"/>
      <c r="C10" s="4" t="n"/>
      <c r="D10" s="5" t="n"/>
      <c r="E10" s="5" t="n"/>
      <c r="F10" s="5" t="n"/>
      <c r="G10" s="5" t="n"/>
      <c r="H10" s="6" t="n"/>
      <c r="I10" s="7" t="n"/>
      <c r="J10" s="4" t="n"/>
      <c r="K10" s="4" t="n"/>
      <c r="L10" s="7" t="n"/>
      <c r="M10" s="18" t="n"/>
      <c r="N10" s="3" t="n"/>
      <c r="O10" s="8" t="n"/>
      <c r="P10" s="3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3" t="n"/>
      <c r="C11" s="4" t="n"/>
      <c r="D11" s="5" t="n"/>
      <c r="E11" s="5" t="n"/>
      <c r="F11" s="5" t="n"/>
      <c r="G11" s="5" t="n"/>
      <c r="H11" s="6" t="n"/>
      <c r="I11" s="7" t="n"/>
      <c r="J11" s="4" t="n"/>
      <c r="K11" s="4" t="n"/>
      <c r="L11" s="7" t="n"/>
      <c r="M11" s="18" t="n"/>
      <c r="N11" s="3" t="n"/>
      <c r="O11" s="8" t="n"/>
      <c r="P11" s="3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3" t="n"/>
      <c r="C12" s="4" t="n"/>
      <c r="D12" s="5" t="n"/>
      <c r="E12" s="5" t="n"/>
      <c r="F12" s="5" t="n"/>
      <c r="G12" s="5" t="n"/>
      <c r="H12" s="6" t="n"/>
      <c r="I12" s="7" t="n"/>
      <c r="J12" s="4" t="n"/>
      <c r="K12" s="4" t="n"/>
      <c r="L12" s="7" t="n"/>
      <c r="M12" s="18" t="n"/>
      <c r="N12" s="3" t="n"/>
      <c r="O12" s="8" t="n"/>
      <c r="P12" s="3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3" t="n"/>
      <c r="C13" s="4" t="n"/>
      <c r="D13" s="5" t="n"/>
      <c r="E13" s="5" t="n"/>
      <c r="F13" s="5" t="n"/>
      <c r="G13" s="5" t="n"/>
      <c r="H13" s="6" t="n"/>
      <c r="I13" s="7" t="n"/>
      <c r="J13" s="4" t="n"/>
      <c r="K13" s="4" t="n"/>
      <c r="L13" s="7" t="n"/>
      <c r="M13" s="22" t="n"/>
      <c r="N13" s="3" t="n"/>
      <c r="O13" s="3" t="n"/>
      <c r="P13" s="9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3" t="n"/>
      <c r="C14" s="4" t="n"/>
      <c r="D14" s="5" t="n"/>
      <c r="E14" s="5" t="n"/>
      <c r="F14" s="5" t="n"/>
      <c r="G14" s="5" t="n"/>
      <c r="H14" s="6" t="n"/>
      <c r="I14" s="7" t="n"/>
      <c r="J14" s="4" t="n"/>
      <c r="K14" s="4" t="n"/>
      <c r="L14" s="7" t="n"/>
      <c r="M14" s="22" t="n"/>
      <c r="N14" s="3" t="n"/>
      <c r="O14" s="3" t="n"/>
      <c r="P14" s="9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3" t="n"/>
      <c r="C15" s="4" t="n"/>
      <c r="D15" s="5" t="n"/>
      <c r="E15" s="5" t="n"/>
      <c r="F15" s="5" t="n"/>
      <c r="G15" s="5" t="n"/>
      <c r="H15" s="6" t="n"/>
      <c r="I15" s="7" t="n"/>
      <c r="J15" s="4" t="n"/>
      <c r="K15" s="4" t="n"/>
      <c r="L15" s="7" t="n"/>
      <c r="M15" s="22" t="n"/>
      <c r="N15" s="3" t="n"/>
      <c r="O15" s="3" t="n"/>
      <c r="P15" s="9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3" t="n"/>
      <c r="C16" s="4" t="n"/>
      <c r="D16" s="5" t="n"/>
      <c r="E16" s="5" t="n"/>
      <c r="F16" s="5" t="n"/>
      <c r="G16" s="5" t="n"/>
      <c r="H16" s="6" t="n"/>
      <c r="I16" s="7" t="n"/>
      <c r="J16" s="4" t="n"/>
      <c r="K16" s="23" t="n"/>
      <c r="L16" s="7" t="n"/>
      <c r="M16" s="22" t="n"/>
      <c r="N16" s="3" t="n"/>
      <c r="O16" s="3" t="n"/>
      <c r="P16" s="9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3" t="n"/>
      <c r="C17" s="4" t="n"/>
      <c r="D17" s="5" t="n"/>
      <c r="E17" s="5" t="n"/>
      <c r="F17" s="5" t="n"/>
      <c r="G17" s="5" t="n"/>
      <c r="H17" s="6" t="n"/>
      <c r="I17" s="7" t="n"/>
      <c r="J17" s="4" t="n"/>
      <c r="K17" s="4" t="n"/>
      <c r="L17" s="7" t="n"/>
      <c r="M17" s="18" t="n"/>
      <c r="N17" s="3" t="n"/>
      <c r="O17" s="8" t="n"/>
      <c r="P17" s="3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3" t="n"/>
      <c r="C18" s="4" t="n"/>
      <c r="D18" s="5" t="n"/>
      <c r="E18" s="5" t="n"/>
      <c r="F18" s="5" t="n"/>
      <c r="G18" s="5" t="n"/>
      <c r="H18" s="6" t="n"/>
      <c r="I18" s="7" t="n"/>
      <c r="J18" s="4" t="n"/>
      <c r="K18" s="23" t="n"/>
      <c r="L18" s="7" t="n"/>
      <c r="M18" s="18" t="n"/>
      <c r="N18" s="3" t="n"/>
      <c r="O18" s="8" t="n"/>
      <c r="P18" s="9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3" t="n"/>
      <c r="C19" s="4" t="n"/>
      <c r="D19" s="5" t="n"/>
      <c r="E19" s="5" t="n"/>
      <c r="F19" s="5" t="n"/>
      <c r="G19" s="5" t="n"/>
      <c r="H19" s="6" t="n"/>
      <c r="I19" s="7" t="n"/>
      <c r="J19" s="4" t="n"/>
      <c r="K19" s="23" t="n"/>
      <c r="L19" s="7" t="n"/>
      <c r="M19" s="18" t="n"/>
      <c r="N19" s="3" t="n"/>
      <c r="O19" s="8" t="n"/>
      <c r="P19" s="9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3" t="n"/>
      <c r="C20" s="4" t="n"/>
      <c r="D20" s="5" t="n"/>
      <c r="E20" s="5" t="n"/>
      <c r="F20" s="5" t="n"/>
      <c r="G20" s="5" t="n"/>
      <c r="H20" s="6" t="n"/>
      <c r="I20" s="7" t="n"/>
      <c r="J20" s="4" t="n"/>
      <c r="K20" s="4" t="n"/>
      <c r="L20" s="7" t="n"/>
      <c r="M20" s="18" t="n"/>
      <c r="N20" s="3" t="n"/>
      <c r="O20" s="8" t="n"/>
      <c r="P20" s="3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3" t="n"/>
      <c r="C21" s="4" t="n"/>
      <c r="D21" s="5" t="n"/>
      <c r="E21" s="5" t="n"/>
      <c r="F21" s="5" t="n"/>
      <c r="G21" s="5" t="n"/>
      <c r="H21" s="6" t="n"/>
      <c r="I21" s="7" t="n"/>
      <c r="J21" s="4" t="n"/>
      <c r="K21" s="4" t="n"/>
      <c r="L21" s="7" t="n"/>
      <c r="M21" s="18" t="n"/>
      <c r="N21" s="3" t="n"/>
      <c r="O21" s="8" t="n"/>
      <c r="P21" s="3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3" t="n"/>
      <c r="C22" s="4" t="n"/>
      <c r="D22" s="5" t="n"/>
      <c r="E22" s="5" t="n"/>
      <c r="F22" s="5" t="n"/>
      <c r="G22" s="5" t="n"/>
      <c r="H22" s="6" t="n"/>
      <c r="I22" s="7" t="n"/>
      <c r="J22" s="4" t="n"/>
      <c r="K22" s="4" t="n"/>
      <c r="L22" s="7" t="n"/>
      <c r="M22" s="18" t="n"/>
      <c r="N22" s="3" t="n"/>
      <c r="O22" s="8" t="n"/>
      <c r="P22" s="3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3" t="n"/>
      <c r="C23" s="4" t="n"/>
      <c r="D23" s="5" t="n"/>
      <c r="E23" s="5" t="n"/>
      <c r="F23" s="5" t="n"/>
      <c r="G23" s="5" t="n"/>
      <c r="H23" s="6" t="n"/>
      <c r="I23" s="7" t="n"/>
      <c r="J23" s="4" t="n"/>
      <c r="K23" s="4" t="n"/>
      <c r="L23" s="7" t="n"/>
      <c r="M23" s="3" t="n"/>
      <c r="N23" s="3" t="n"/>
      <c r="O23" s="8" t="n"/>
      <c r="P23" s="3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3" t="n"/>
      <c r="C24" s="4" t="n"/>
      <c r="D24" s="5" t="n"/>
      <c r="E24" s="5" t="n"/>
      <c r="F24" s="5" t="n"/>
      <c r="G24" s="5" t="n"/>
      <c r="H24" s="6" t="n"/>
      <c r="I24" s="7" t="n"/>
      <c r="J24" s="4" t="n"/>
      <c r="K24" s="4" t="n"/>
      <c r="L24" s="7" t="n"/>
      <c r="M24" s="3" t="n"/>
      <c r="N24" s="3" t="n"/>
      <c r="O24" s="8" t="n"/>
      <c r="P24" s="3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3" t="n"/>
      <c r="C25" s="4" t="n"/>
      <c r="D25" s="5" t="n"/>
      <c r="E25" s="5" t="n"/>
      <c r="F25" s="5" t="n"/>
      <c r="G25" s="5" t="n"/>
      <c r="H25" s="6" t="n"/>
      <c r="I25" s="7" t="n"/>
      <c r="J25" s="4" t="n"/>
      <c r="K25" s="4" t="n"/>
      <c r="L25" s="7" t="n"/>
      <c r="M25" s="18" t="n"/>
      <c r="N25" s="3" t="n"/>
      <c r="O25" s="8" t="n"/>
      <c r="P25" s="3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3" t="n"/>
      <c r="C26" s="4" t="n"/>
      <c r="D26" s="5" t="n"/>
      <c r="E26" s="5" t="n"/>
      <c r="F26" s="5" t="n"/>
      <c r="G26" s="5" t="n"/>
      <c r="H26" s="6" t="n"/>
      <c r="I26" s="7" t="n"/>
      <c r="J26" s="4" t="n"/>
      <c r="K26" s="4" t="n"/>
      <c r="L26" s="7" t="n"/>
      <c r="M26" s="3" t="n"/>
      <c r="N26" s="3" t="n"/>
      <c r="O26" s="8" t="n"/>
      <c r="P26" s="9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3" t="n"/>
      <c r="C27" s="4" t="n"/>
      <c r="D27" s="5" t="n"/>
      <c r="E27" s="5" t="n"/>
      <c r="F27" s="5" t="n"/>
      <c r="G27" s="5" t="n"/>
      <c r="H27" s="6" t="n"/>
      <c r="I27" s="7" t="n"/>
      <c r="J27" s="4" t="n"/>
      <c r="K27" s="4" t="n"/>
      <c r="L27" s="7" t="n"/>
      <c r="M27" s="3" t="n"/>
      <c r="N27" s="3" t="n"/>
      <c r="O27" s="8" t="n"/>
      <c r="P27" s="3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3" t="n"/>
      <c r="C28" s="4" t="n"/>
      <c r="D28" s="5" t="n"/>
      <c r="E28" s="5" t="n"/>
      <c r="F28" s="5" t="n"/>
      <c r="G28" s="5" t="n"/>
      <c r="H28" s="6" t="n"/>
      <c r="I28" s="7" t="n"/>
      <c r="J28" s="4" t="n"/>
      <c r="K28" s="4" t="n"/>
      <c r="L28" s="7" t="n"/>
      <c r="M28" s="3" t="n"/>
      <c r="N28" s="3" t="n"/>
      <c r="O28" s="8" t="n"/>
      <c r="P28" s="3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3" t="n"/>
      <c r="C29" s="4" t="n"/>
      <c r="D29" s="5" t="n"/>
      <c r="E29" s="5" t="n"/>
      <c r="F29" s="5" t="n"/>
      <c r="G29" s="5" t="n"/>
      <c r="H29" s="6" t="n"/>
      <c r="I29" s="7" t="n"/>
      <c r="J29" s="4" t="n"/>
      <c r="K29" s="4" t="n"/>
      <c r="L29" s="7" t="n"/>
      <c r="M29" s="18" t="n"/>
      <c r="N29" s="3" t="n"/>
      <c r="O29" s="8" t="n"/>
      <c r="P29" s="9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3" t="n"/>
      <c r="C30" s="4" t="n"/>
      <c r="D30" s="5" t="n"/>
      <c r="E30" s="5" t="n"/>
      <c r="F30" s="5" t="n"/>
      <c r="G30" s="5" t="n"/>
      <c r="H30" s="6" t="n"/>
      <c r="I30" s="7" t="n"/>
      <c r="J30" s="4" t="n"/>
      <c r="K30" s="4" t="n"/>
      <c r="L30" s="7" t="n"/>
      <c r="M30" s="3" t="n"/>
      <c r="N30" s="3" t="n"/>
      <c r="O30" s="8" t="n"/>
      <c r="P30" s="3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3" t="n"/>
      <c r="C31" s="4" t="n"/>
      <c r="D31" s="5" t="n"/>
      <c r="E31" s="5" t="n"/>
      <c r="F31" s="5" t="n"/>
      <c r="G31" s="5" t="n"/>
      <c r="H31" s="6" t="n"/>
      <c r="I31" s="7" t="n"/>
      <c r="J31" s="4" t="n"/>
      <c r="K31" s="4" t="n"/>
      <c r="L31" s="7" t="n"/>
      <c r="M31" s="3" t="n"/>
      <c r="N31" s="3" t="n"/>
      <c r="O31" s="8" t="n"/>
      <c r="P31" s="3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3" t="n"/>
      <c r="C32" s="4" t="n"/>
      <c r="D32" s="5" t="n"/>
      <c r="E32" s="5" t="n"/>
      <c r="F32" s="5" t="n"/>
      <c r="G32" s="5" t="n"/>
      <c r="H32" s="6" t="n"/>
      <c r="I32" s="7" t="n"/>
      <c r="J32" s="4" t="n"/>
      <c r="K32" s="4" t="n"/>
      <c r="L32" s="7" t="n"/>
      <c r="M32" s="3" t="n"/>
      <c r="N32" s="3" t="n"/>
      <c r="O32" s="8" t="n"/>
      <c r="P32" s="3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3" t="n"/>
      <c r="C33" s="4" t="n"/>
      <c r="D33" s="5" t="n"/>
      <c r="E33" s="5" t="n"/>
      <c r="F33" s="5" t="n"/>
      <c r="G33" s="5" t="n"/>
      <c r="H33" s="6" t="n"/>
      <c r="I33" s="7" t="n"/>
      <c r="J33" s="4" t="n"/>
      <c r="K33" s="4" t="n"/>
      <c r="L33" s="7" t="n"/>
      <c r="M33" s="3" t="n"/>
      <c r="N33" s="3" t="n"/>
      <c r="O33" s="8" t="n"/>
      <c r="P33" s="3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3" t="n"/>
      <c r="C34" s="4" t="n"/>
      <c r="D34" s="5" t="n"/>
      <c r="E34" s="5" t="n"/>
      <c r="F34" s="5" t="n"/>
      <c r="G34" s="5" t="n"/>
      <c r="H34" s="6" t="n"/>
      <c r="I34" s="7" t="n"/>
      <c r="J34" s="4" t="n"/>
      <c r="K34" s="4" t="n"/>
      <c r="L34" s="7" t="n"/>
      <c r="M34" s="3" t="n"/>
      <c r="N34" s="3" t="n"/>
      <c r="O34" s="8" t="n"/>
      <c r="P34" s="3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3" t="n"/>
      <c r="C35" s="4" t="n"/>
      <c r="D35" s="5" t="n"/>
      <c r="E35" s="5" t="n"/>
      <c r="F35" s="5" t="n"/>
      <c r="G35" s="5" t="n"/>
      <c r="H35" s="6" t="n"/>
      <c r="I35" s="7" t="n"/>
      <c r="J35" s="4" t="n"/>
      <c r="K35" s="4" t="n"/>
      <c r="L35" s="7" t="n"/>
      <c r="M35" s="3" t="n"/>
      <c r="N35" s="3" t="n"/>
      <c r="O35" s="8" t="n"/>
      <c r="P35" s="3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3" t="n"/>
      <c r="C36" s="4" t="n"/>
      <c r="D36" s="5" t="n"/>
      <c r="E36" s="5" t="n"/>
      <c r="F36" s="5" t="n"/>
      <c r="G36" s="5" t="n"/>
      <c r="H36" s="6" t="n"/>
      <c r="I36" s="7" t="n"/>
      <c r="J36" s="4" t="n"/>
      <c r="K36" s="4" t="n"/>
      <c r="L36" s="7" t="n"/>
      <c r="M36" s="3" t="n"/>
      <c r="N36" s="3" t="n"/>
      <c r="O36" s="8" t="n"/>
      <c r="P36" s="3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" t="n"/>
      <c r="C37" s="1" t="n"/>
      <c r="D37" s="1" t="n"/>
      <c r="E37" s="28" t="n"/>
      <c r="F37" s="28" t="n"/>
      <c r="G37" s="28" t="n"/>
      <c r="H37" s="28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29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2:$P$37"/>
  <pageMargins left="0.511811024" right="0.511811024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5.44" customWidth="1" style="317" min="1" max="1"/>
    <col width="30.44" customWidth="1" style="317" min="2" max="2"/>
    <col width="5.44" customWidth="1" style="317" min="3" max="3"/>
    <col width="11.89" customWidth="1" style="317" min="4" max="4"/>
    <col width="12.11" customWidth="1" style="317" min="5" max="5"/>
    <col width="12.89" customWidth="1" style="317" min="6" max="6"/>
    <col width="13.56" customWidth="1" style="317" min="7" max="7"/>
    <col width="16.44" customWidth="1" style="317" min="8" max="8"/>
    <col width="13.44" customWidth="1" style="317" min="9" max="9"/>
    <col width="13.89" customWidth="1" style="317" min="10" max="10"/>
    <col width="21.11" customWidth="1" style="317" min="11" max="12"/>
    <col width="28.56" customWidth="1" style="317" min="13" max="13"/>
    <col width="13.44" customWidth="1" style="317" min="14" max="14"/>
    <col width="27" customWidth="1" style="317" min="15" max="15"/>
    <col width="77.89" customWidth="1" style="317" min="16" max="16"/>
    <col width="10.89" customWidth="1" style="317" min="17" max="26"/>
  </cols>
  <sheetData>
    <row r="1" ht="81" customHeight="1" s="31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327" t="inlineStr">
        <is>
          <t>PLANILHA VENDAS LIVRARIA EBP-BA 2021</t>
        </is>
      </c>
      <c r="C2" s="328" t="n"/>
      <c r="D2" s="328" t="n"/>
      <c r="E2" s="328" t="n"/>
      <c r="F2" s="328" t="n"/>
      <c r="G2" s="328" t="n"/>
      <c r="H2" s="328" t="n"/>
      <c r="I2" s="328" t="n"/>
      <c r="J2" s="328" t="n"/>
      <c r="K2" s="328" t="n"/>
      <c r="L2" s="328" t="n"/>
      <c r="M2" s="328" t="n"/>
      <c r="N2" s="328" t="n"/>
      <c r="O2" s="328" t="n"/>
      <c r="P2" s="328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317">
      <c r="A3" s="1" t="n"/>
      <c r="B3" s="2" t="inlineStr">
        <is>
          <t>ITENS</t>
        </is>
      </c>
      <c r="C3" s="2" t="inlineStr">
        <is>
          <t>QTD</t>
        </is>
      </c>
      <c r="D3" s="2" t="inlineStr">
        <is>
          <t>VALOR UNT</t>
        </is>
      </c>
      <c r="E3" s="2" t="inlineStr">
        <is>
          <t>SUBTOTAL</t>
        </is>
      </c>
      <c r="F3" s="2" t="inlineStr">
        <is>
          <t>VALOR FRETE</t>
        </is>
      </c>
      <c r="G3" s="2" t="inlineStr">
        <is>
          <t>VALOR TOTAL</t>
        </is>
      </c>
      <c r="H3" s="2" t="inlineStr">
        <is>
          <t>VENDA</t>
        </is>
      </c>
      <c r="I3" s="2" t="inlineStr">
        <is>
          <t>DATA VENDA</t>
        </is>
      </c>
      <c r="J3" s="2" t="inlineStr">
        <is>
          <t>FORMA PGTO</t>
        </is>
      </c>
      <c r="K3" s="2" t="inlineStr">
        <is>
          <t>COD RASTREAMENTO</t>
        </is>
      </c>
      <c r="L3" s="2" t="inlineStr">
        <is>
          <t>DATA ENVIO</t>
        </is>
      </c>
      <c r="M3" s="2" t="inlineStr">
        <is>
          <t>NOME</t>
        </is>
      </c>
      <c r="N3" s="2" t="inlineStr">
        <is>
          <t>TELEFONE</t>
        </is>
      </c>
      <c r="O3" s="2" t="inlineStr">
        <is>
          <t>EMAIL</t>
        </is>
      </c>
      <c r="P3" s="2" t="inlineStr">
        <is>
          <t>ENDEREÇO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idden="1" s="317">
      <c r="A4" s="1" t="n"/>
      <c r="B4" s="3" t="inlineStr">
        <is>
          <t>Livros Sur Livros</t>
        </is>
      </c>
      <c r="C4" s="4" t="n">
        <v>1</v>
      </c>
      <c r="D4" s="5" t="n">
        <v>281</v>
      </c>
      <c r="E4" s="5">
        <f>D4*C4</f>
        <v/>
      </c>
      <c r="F4" s="5" t="n">
        <v>7.9</v>
      </c>
      <c r="G4" s="5">
        <f>F4+E4</f>
        <v/>
      </c>
      <c r="H4" s="6">
        <f>G4</f>
        <v/>
      </c>
      <c r="I4" s="7" t="n">
        <v>44382</v>
      </c>
      <c r="J4" s="4" t="inlineStr">
        <is>
          <t>Pix</t>
        </is>
      </c>
      <c r="K4" s="4" t="inlineStr">
        <is>
          <t>Entrega direta</t>
        </is>
      </c>
      <c r="L4" s="7" t="n">
        <v>44382</v>
      </c>
      <c r="M4" s="3" t="inlineStr">
        <is>
          <t>Marcela Antelo</t>
        </is>
      </c>
      <c r="N4" s="3" t="n"/>
      <c r="O4" s="8" t="n"/>
      <c r="P4" s="9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idden="1" s="317">
      <c r="A5" s="1" t="n"/>
      <c r="B5" s="3" t="inlineStr">
        <is>
          <t>Tributo a Célio Garcia</t>
        </is>
      </c>
      <c r="C5" s="4" t="n">
        <v>1</v>
      </c>
      <c r="D5" s="5" t="n">
        <v>75</v>
      </c>
      <c r="E5" s="5">
        <f>D5*C5</f>
        <v/>
      </c>
      <c r="F5" s="5" t="n">
        <v>0</v>
      </c>
      <c r="G5" s="5">
        <f>F5+E5</f>
        <v/>
      </c>
      <c r="H5" s="6">
        <f>G5+F5</f>
        <v/>
      </c>
      <c r="I5" s="7" t="n">
        <v>44389</v>
      </c>
      <c r="J5" s="4" t="inlineStr">
        <is>
          <t>Pix</t>
        </is>
      </c>
      <c r="K5" s="4" t="inlineStr">
        <is>
          <t>Retirou</t>
        </is>
      </c>
      <c r="L5" s="7" t="n"/>
      <c r="M5" s="3" t="inlineStr">
        <is>
          <t>Tania Abreu</t>
        </is>
      </c>
      <c r="N5" s="3" t="inlineStr">
        <is>
          <t>71 8836-4345</t>
        </is>
      </c>
      <c r="O5" s="8" t="inlineStr">
        <is>
          <t>taniaabreu.ta@gmail.com</t>
        </is>
      </c>
      <c r="P5" s="3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idden="1" s="317">
      <c r="A6" s="1" t="n"/>
      <c r="B6" s="3" t="inlineStr">
        <is>
          <t>Lacaniana 29</t>
        </is>
      </c>
      <c r="C6" s="4" t="n">
        <v>1</v>
      </c>
      <c r="D6" s="5" t="n">
        <v>110</v>
      </c>
      <c r="E6" s="5">
        <f>D6*C6</f>
        <v/>
      </c>
      <c r="F6" s="5" t="n">
        <v>0</v>
      </c>
      <c r="G6" s="5">
        <f>F6+E6</f>
        <v/>
      </c>
      <c r="H6" s="6">
        <f>G6+G7</f>
        <v/>
      </c>
      <c r="I6" s="7" t="n">
        <v>44413</v>
      </c>
      <c r="J6" s="7" t="inlineStr">
        <is>
          <t>Pix</t>
        </is>
      </c>
      <c r="K6" s="7" t="inlineStr">
        <is>
          <t>Retirou</t>
        </is>
      </c>
      <c r="L6" s="7" t="n"/>
      <c r="M6" s="318" t="inlineStr">
        <is>
          <t>Tania Abreu</t>
        </is>
      </c>
      <c r="N6" s="318" t="inlineStr">
        <is>
          <t>71 8836-4345</t>
        </is>
      </c>
      <c r="O6" s="329" t="inlineStr">
        <is>
          <t>taniaabreu.ta@gmail.com</t>
        </is>
      </c>
      <c r="P6" s="7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idden="1" s="317">
      <c r="A7" s="1" t="n"/>
      <c r="B7" s="3" t="inlineStr">
        <is>
          <t>La diferencia de los sexos no existe</t>
        </is>
      </c>
      <c r="C7" s="4" t="n">
        <v>1</v>
      </c>
      <c r="D7" s="5" t="n">
        <v>85</v>
      </c>
      <c r="E7" s="5">
        <f>D7*C7</f>
        <v/>
      </c>
      <c r="F7" s="5" t="n">
        <v>0</v>
      </c>
      <c r="G7" s="5">
        <f>F7+E7</f>
        <v/>
      </c>
      <c r="H7" s="320" t="n"/>
      <c r="I7" s="320" t="n"/>
      <c r="J7" s="320" t="n"/>
      <c r="K7" s="320" t="n"/>
      <c r="L7" s="320" t="n"/>
      <c r="M7" s="320" t="n"/>
      <c r="N7" s="320" t="n"/>
      <c r="O7" s="320" t="n"/>
      <c r="P7" s="320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idden="1" s="317">
      <c r="A8" s="1" t="n"/>
      <c r="B8" s="3" t="inlineStr">
        <is>
          <t>La diferencia de los sexos no existe</t>
        </is>
      </c>
      <c r="C8" s="4" t="n">
        <v>1</v>
      </c>
      <c r="D8" s="5" t="n">
        <v>85</v>
      </c>
      <c r="E8" s="5">
        <f>D8*C8</f>
        <v/>
      </c>
      <c r="F8" s="5" t="n">
        <v>0</v>
      </c>
      <c r="G8" s="5">
        <f>F8+E8</f>
        <v/>
      </c>
      <c r="H8" s="6">
        <f>G8+G9+G10</f>
        <v/>
      </c>
      <c r="I8" s="7" t="n">
        <v>44413</v>
      </c>
      <c r="J8" s="7" t="inlineStr">
        <is>
          <t>Pix</t>
        </is>
      </c>
      <c r="K8" s="7" t="inlineStr">
        <is>
          <t>Retirou</t>
        </is>
      </c>
      <c r="L8" s="7" t="n"/>
      <c r="M8" s="318" t="inlineStr">
        <is>
          <t>Vanessa Borges Farias</t>
        </is>
      </c>
      <c r="N8" s="318" t="inlineStr">
        <is>
          <t>71 8844-3990</t>
        </is>
      </c>
      <c r="O8" s="329" t="inlineStr">
        <is>
          <t>vanessabf12@gmail.com</t>
        </is>
      </c>
      <c r="P8" s="7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idden="1" s="317">
      <c r="A9" s="1" t="n"/>
      <c r="B9" s="3" t="inlineStr">
        <is>
          <t>Discurso, sujeto y lazo social</t>
        </is>
      </c>
      <c r="C9" s="4" t="n">
        <v>1</v>
      </c>
      <c r="D9" s="5" t="n">
        <v>72</v>
      </c>
      <c r="E9" s="5">
        <f>D9*C9</f>
        <v/>
      </c>
      <c r="F9" s="5" t="n">
        <v>0</v>
      </c>
      <c r="G9" s="5">
        <f>F9+E9</f>
        <v/>
      </c>
      <c r="H9" s="321" t="n"/>
      <c r="I9" s="321" t="n"/>
      <c r="J9" s="321" t="n"/>
      <c r="K9" s="321" t="n"/>
      <c r="L9" s="321" t="n"/>
      <c r="M9" s="321" t="n"/>
      <c r="N9" s="321" t="n"/>
      <c r="O9" s="321" t="n"/>
      <c r="P9" s="32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idden="1" s="317">
      <c r="A10" s="1" t="n"/>
      <c r="B10" s="3" t="inlineStr">
        <is>
          <t>Matrimonio</t>
        </is>
      </c>
      <c r="C10" s="4" t="n">
        <v>1</v>
      </c>
      <c r="D10" s="5" t="n">
        <v>70</v>
      </c>
      <c r="E10" s="5">
        <f>D10*C10</f>
        <v/>
      </c>
      <c r="F10" s="5" t="n">
        <v>0</v>
      </c>
      <c r="G10" s="5">
        <f>F10+E10</f>
        <v/>
      </c>
      <c r="H10" s="320" t="n"/>
      <c r="I10" s="320" t="n"/>
      <c r="J10" s="320" t="n"/>
      <c r="K10" s="320" t="n"/>
      <c r="L10" s="320" t="n"/>
      <c r="M10" s="320" t="n"/>
      <c r="N10" s="320" t="n"/>
      <c r="O10" s="320" t="n"/>
      <c r="P10" s="320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idden="1" s="317">
      <c r="A11" s="1" t="n"/>
      <c r="B11" s="3" t="inlineStr">
        <is>
          <t>La diferencia de los sexos no existe</t>
        </is>
      </c>
      <c r="C11" s="4" t="n">
        <v>1</v>
      </c>
      <c r="D11" s="5" t="n">
        <v>85</v>
      </c>
      <c r="E11" s="5">
        <f>D11*C11</f>
        <v/>
      </c>
      <c r="F11" s="5" t="n">
        <v>0</v>
      </c>
      <c r="G11" s="5">
        <f>F11+E11</f>
        <v/>
      </c>
      <c r="H11" s="6">
        <f>G11+G12</f>
        <v/>
      </c>
      <c r="I11" s="7" t="n">
        <v>44413</v>
      </c>
      <c r="J11" s="7" t="inlineStr">
        <is>
          <t>Pix</t>
        </is>
      </c>
      <c r="K11" s="7" t="inlineStr">
        <is>
          <t>Retirou</t>
        </is>
      </c>
      <c r="L11" s="7" t="n"/>
      <c r="M11" s="18" t="inlineStr">
        <is>
          <t>Giovana Reis Mesquita</t>
        </is>
      </c>
      <c r="N11" s="18" t="inlineStr">
        <is>
          <t>71 8195-7257</t>
        </is>
      </c>
      <c r="O11" s="318" t="n"/>
      <c r="P11" s="318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idden="1" s="317">
      <c r="A12" s="1" t="n"/>
      <c r="B12" s="3" t="inlineStr">
        <is>
          <t>La condición perversa</t>
        </is>
      </c>
      <c r="C12" s="4" t="n">
        <v>1</v>
      </c>
      <c r="D12" s="5" t="n">
        <v>69</v>
      </c>
      <c r="E12" s="5">
        <f>D12*C12</f>
        <v/>
      </c>
      <c r="F12" s="5" t="n">
        <v>0</v>
      </c>
      <c r="G12" s="5">
        <f>F12+E12</f>
        <v/>
      </c>
      <c r="H12" s="320" t="n"/>
      <c r="I12" s="320" t="n"/>
      <c r="J12" s="320" t="n"/>
      <c r="K12" s="320" t="n"/>
      <c r="L12" s="320" t="n"/>
      <c r="M12" s="320" t="n"/>
      <c r="N12" s="320" t="n"/>
      <c r="O12" s="320" t="n"/>
      <c r="P12" s="320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idden="1" s="317">
      <c r="A13" s="1" t="n"/>
      <c r="B13" s="3" t="inlineStr">
        <is>
          <t>La diferencia de los sexos no existe</t>
        </is>
      </c>
      <c r="C13" s="4" t="n">
        <v>1</v>
      </c>
      <c r="D13" s="5" t="n">
        <v>85</v>
      </c>
      <c r="E13" s="5">
        <f>D13*C13</f>
        <v/>
      </c>
      <c r="F13" s="5" t="n">
        <v>0</v>
      </c>
      <c r="G13" s="5">
        <f>F13+E13</f>
        <v/>
      </c>
      <c r="H13" s="6">
        <f>G13</f>
        <v/>
      </c>
      <c r="I13" s="7" t="n">
        <v>44417</v>
      </c>
      <c r="J13" s="4" t="inlineStr">
        <is>
          <t>Pix</t>
        </is>
      </c>
      <c r="K13" s="4" t="inlineStr">
        <is>
          <t>Retirou</t>
        </is>
      </c>
      <c r="L13" s="7" t="n"/>
      <c r="M13" s="3" t="inlineStr">
        <is>
          <t>Iordan Gurgel</t>
        </is>
      </c>
      <c r="N13" s="3" t="n"/>
      <c r="O13" s="8" t="n"/>
      <c r="P13" s="3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idden="1" s="317">
      <c r="A14" s="1" t="n"/>
      <c r="B14" s="3" t="inlineStr">
        <is>
          <t>La diferencia de los sexos no existe</t>
        </is>
      </c>
      <c r="C14" s="4" t="n">
        <v>1</v>
      </c>
      <c r="D14" s="5" t="n">
        <v>85</v>
      </c>
      <c r="E14" s="5">
        <f>D14*C14</f>
        <v/>
      </c>
      <c r="F14" s="5" t="n">
        <v>0</v>
      </c>
      <c r="G14" s="5">
        <f>F14+E14</f>
        <v/>
      </c>
      <c r="H14" s="6">
        <f>G14</f>
        <v/>
      </c>
      <c r="I14" s="7" t="n">
        <v>44417</v>
      </c>
      <c r="J14" s="4" t="inlineStr">
        <is>
          <t>Pix</t>
        </is>
      </c>
      <c r="K14" s="4" t="inlineStr">
        <is>
          <t>JN692353175BR</t>
        </is>
      </c>
      <c r="L14" s="7" t="n">
        <v>44431</v>
      </c>
      <c r="M14" s="3" t="inlineStr">
        <is>
          <t>Alessia Fontenelle</t>
        </is>
      </c>
      <c r="N14" s="3" t="inlineStr">
        <is>
          <t>87 8817-9031</t>
        </is>
      </c>
      <c r="O14" s="8" t="inlineStr">
        <is>
          <t>alessiaf@uol.com.br</t>
        </is>
      </c>
      <c r="P14" s="9" t="inlineStr">
        <is>
          <t>Rua Engenheiro Carlos Pinheiro, 171
Centro, Petrolina-PE
CEP: 56302-310</t>
        </is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idden="1" s="317">
      <c r="A15" s="1" t="n"/>
      <c r="B15" s="3" t="inlineStr">
        <is>
          <t>Indiscreto inconsciente</t>
        </is>
      </c>
      <c r="C15" s="4" t="n">
        <v>1</v>
      </c>
      <c r="D15" s="5" t="n">
        <v>85</v>
      </c>
      <c r="E15" s="5">
        <f>D15*C15</f>
        <v/>
      </c>
      <c r="F15" s="5" t="n">
        <v>0</v>
      </c>
      <c r="G15" s="5">
        <f>F15+E15</f>
        <v/>
      </c>
      <c r="H15" s="6">
        <f>G15+G16</f>
        <v/>
      </c>
      <c r="I15" s="7" t="n">
        <v>44417</v>
      </c>
      <c r="J15" s="7" t="inlineStr">
        <is>
          <t>Pix</t>
        </is>
      </c>
      <c r="K15" s="7" t="inlineStr">
        <is>
          <t>Retirou</t>
        </is>
      </c>
      <c r="L15" s="7" t="n"/>
      <c r="M15" s="318" t="inlineStr">
        <is>
          <t>Marcela Antelo</t>
        </is>
      </c>
      <c r="N15" s="318" t="n"/>
      <c r="O15" s="318" t="n"/>
      <c r="P15" s="318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idden="1" s="317">
      <c r="A16" s="1" t="n"/>
      <c r="B16" s="3" t="inlineStr">
        <is>
          <t>La diferencia de los sexos no existe</t>
        </is>
      </c>
      <c r="C16" s="4" t="n">
        <v>1</v>
      </c>
      <c r="D16" s="5" t="n">
        <v>85</v>
      </c>
      <c r="E16" s="5">
        <f>D16*C16</f>
        <v/>
      </c>
      <c r="F16" s="5" t="n">
        <v>0</v>
      </c>
      <c r="G16" s="5">
        <f>F16+E16</f>
        <v/>
      </c>
      <c r="H16" s="320" t="n"/>
      <c r="I16" s="320" t="n"/>
      <c r="J16" s="320" t="n"/>
      <c r="K16" s="320" t="n"/>
      <c r="L16" s="320" t="n"/>
      <c r="M16" s="320" t="n"/>
      <c r="N16" s="320" t="n"/>
      <c r="O16" s="320" t="n"/>
      <c r="P16" s="320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idden="1" s="317">
      <c r="A17" s="1" t="n"/>
      <c r="B17" s="3" t="inlineStr">
        <is>
          <t>La diferencia de los sexos no existe</t>
        </is>
      </c>
      <c r="C17" s="4" t="n">
        <v>1</v>
      </c>
      <c r="D17" s="5" t="n">
        <v>85</v>
      </c>
      <c r="E17" s="5">
        <f>D17*C17</f>
        <v/>
      </c>
      <c r="F17" s="5" t="n">
        <v>0</v>
      </c>
      <c r="G17" s="5">
        <f>F17+E17</f>
        <v/>
      </c>
      <c r="H17" s="6">
        <f>G17+G18+G19+G20+G21+G22</f>
        <v/>
      </c>
      <c r="I17" s="7" t="n">
        <v>44417</v>
      </c>
      <c r="J17" s="7" t="inlineStr">
        <is>
          <t>Pix</t>
        </is>
      </c>
      <c r="K17" s="7" t="inlineStr">
        <is>
          <t>Retirou</t>
        </is>
      </c>
      <c r="L17" s="7" t="n"/>
      <c r="M17" s="318" t="inlineStr">
        <is>
          <t>Daniela Nunes Araujo</t>
        </is>
      </c>
      <c r="N17" s="318" t="inlineStr">
        <is>
          <t>71 9989-1451</t>
        </is>
      </c>
      <c r="O17" s="329" t="inlineStr">
        <is>
          <t>danielanunesaraujo@gmail.com</t>
        </is>
      </c>
      <c r="P17" s="318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idden="1" s="317">
      <c r="A18" s="1" t="n"/>
      <c r="B18" s="9" t="inlineStr">
        <is>
          <t>Topología del amor</t>
        </is>
      </c>
      <c r="C18" s="4" t="n">
        <v>1</v>
      </c>
      <c r="D18" s="5" t="n">
        <v>85</v>
      </c>
      <c r="E18" s="5">
        <f>D18*C18</f>
        <v/>
      </c>
      <c r="F18" s="5" t="n">
        <v>0</v>
      </c>
      <c r="G18" s="5">
        <f>F18+E18</f>
        <v/>
      </c>
      <c r="H18" s="321" t="n"/>
      <c r="I18" s="321" t="n"/>
      <c r="J18" s="321" t="n"/>
      <c r="K18" s="321" t="n"/>
      <c r="L18" s="321" t="n"/>
      <c r="M18" s="321" t="n"/>
      <c r="N18" s="321" t="n"/>
      <c r="O18" s="321" t="n"/>
      <c r="P18" s="32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idden="1" s="317">
      <c r="A19" s="1" t="n"/>
      <c r="B19" s="9" t="inlineStr">
        <is>
          <t>Revista El NIño 15</t>
        </is>
      </c>
      <c r="C19" s="4" t="n">
        <v>1</v>
      </c>
      <c r="D19" s="5" t="n">
        <v>69</v>
      </c>
      <c r="E19" s="5">
        <f>D19*C19</f>
        <v/>
      </c>
      <c r="F19" s="5" t="n">
        <v>0</v>
      </c>
      <c r="G19" s="5">
        <f>F19+E19</f>
        <v/>
      </c>
      <c r="H19" s="321" t="n"/>
      <c r="I19" s="321" t="n"/>
      <c r="J19" s="321" t="n"/>
      <c r="K19" s="321" t="n"/>
      <c r="L19" s="321" t="n"/>
      <c r="M19" s="321" t="n"/>
      <c r="N19" s="321" t="n"/>
      <c r="O19" s="321" t="n"/>
      <c r="P19" s="32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idden="1" s="317">
      <c r="A20" s="1" t="n"/>
      <c r="B20" s="9" t="inlineStr">
        <is>
          <t>La condición perversa</t>
        </is>
      </c>
      <c r="C20" s="4" t="n">
        <v>1</v>
      </c>
      <c r="D20" s="5" t="n">
        <v>69</v>
      </c>
      <c r="E20" s="5">
        <f>D20*C20</f>
        <v/>
      </c>
      <c r="F20" s="5" t="n">
        <v>0</v>
      </c>
      <c r="G20" s="5">
        <f>F20+E20</f>
        <v/>
      </c>
      <c r="H20" s="321" t="n"/>
      <c r="I20" s="321" t="n"/>
      <c r="J20" s="321" t="n"/>
      <c r="K20" s="321" t="n"/>
      <c r="L20" s="321" t="n"/>
      <c r="M20" s="321" t="n"/>
      <c r="N20" s="321" t="n"/>
      <c r="O20" s="321" t="n"/>
      <c r="P20" s="32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idden="1" s="317">
      <c r="A21" s="1" t="n"/>
      <c r="B21" s="9" t="inlineStr">
        <is>
          <t>Por qué se suicida un adolescente</t>
        </is>
      </c>
      <c r="C21" s="4" t="n">
        <v>1</v>
      </c>
      <c r="D21" s="5" t="n">
        <v>110</v>
      </c>
      <c r="E21" s="5">
        <f>D21*C21</f>
        <v/>
      </c>
      <c r="F21" s="5" t="n">
        <v>0</v>
      </c>
      <c r="G21" s="5">
        <f>F21+E21</f>
        <v/>
      </c>
      <c r="H21" s="321" t="n"/>
      <c r="I21" s="321" t="n"/>
      <c r="J21" s="321" t="n"/>
      <c r="K21" s="321" t="n"/>
      <c r="L21" s="321" t="n"/>
      <c r="M21" s="321" t="n"/>
      <c r="N21" s="321" t="n"/>
      <c r="O21" s="321" t="n"/>
      <c r="P21" s="32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idden="1" s="317">
      <c r="A22" s="1" t="n"/>
      <c r="B22" s="9" t="inlineStr">
        <is>
          <t>Adole(seres)</t>
        </is>
      </c>
      <c r="C22" s="4" t="n">
        <v>1</v>
      </c>
      <c r="D22" s="5" t="n">
        <v>92</v>
      </c>
      <c r="E22" s="5">
        <f>D22*C22</f>
        <v/>
      </c>
      <c r="F22" s="5" t="n">
        <v>0</v>
      </c>
      <c r="G22" s="5">
        <f>F22+E22</f>
        <v/>
      </c>
      <c r="H22" s="320" t="n"/>
      <c r="I22" s="320" t="n"/>
      <c r="J22" s="320" t="n"/>
      <c r="K22" s="320" t="n"/>
      <c r="L22" s="320" t="n"/>
      <c r="M22" s="320" t="n"/>
      <c r="N22" s="320" t="n"/>
      <c r="O22" s="320" t="n"/>
      <c r="P22" s="320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idden="1" s="317">
      <c r="A23" s="1" t="n"/>
      <c r="B23" s="3" t="n"/>
      <c r="C23" s="4" t="n"/>
      <c r="D23" s="5" t="n"/>
      <c r="E23" s="5">
        <f>D23*C23</f>
        <v/>
      </c>
      <c r="F23" s="5" t="n">
        <v>10.3</v>
      </c>
      <c r="G23" s="5">
        <f>F23+E23</f>
        <v/>
      </c>
      <c r="H23" s="6">
        <f>G23</f>
        <v/>
      </c>
      <c r="I23" s="7" t="n">
        <v>44418</v>
      </c>
      <c r="J23" s="4" t="inlineStr">
        <is>
          <t>Pix</t>
        </is>
      </c>
      <c r="K23" s="4" t="inlineStr">
        <is>
          <t>JN692353175BR</t>
        </is>
      </c>
      <c r="L23" s="7" t="n">
        <v>44431</v>
      </c>
      <c r="M23" s="3" t="inlineStr">
        <is>
          <t>Alessia Fontenelle</t>
        </is>
      </c>
      <c r="N23" s="3" t="inlineStr">
        <is>
          <t>87 8817-9031</t>
        </is>
      </c>
      <c r="O23" s="8" t="inlineStr">
        <is>
          <t>alessiaf@uol.com.br</t>
        </is>
      </c>
      <c r="P23" s="9" t="inlineStr">
        <is>
          <t>Rua Engenheiro Carlos Pinheiro, 171
Centro, Petrolina-PE
CEP: 56302-310</t>
        </is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idden="1" s="317">
      <c r="A24" s="1" t="n"/>
      <c r="B24" s="3" t="inlineStr">
        <is>
          <t>1, 2, 3, 4 - Tomo I</t>
        </is>
      </c>
      <c r="C24" s="4" t="n">
        <v>1</v>
      </c>
      <c r="D24" s="5" t="n">
        <v>30.7</v>
      </c>
      <c r="E24" s="5">
        <f>D24*C24</f>
        <v/>
      </c>
      <c r="F24" s="5" t="n">
        <v>0</v>
      </c>
      <c r="G24" s="5">
        <f>F24+E24</f>
        <v/>
      </c>
      <c r="H24" s="6">
        <f>G24</f>
        <v/>
      </c>
      <c r="I24" s="7" t="n">
        <v>44418</v>
      </c>
      <c r="J24" s="4" t="inlineStr">
        <is>
          <t>Pix</t>
        </is>
      </c>
      <c r="K24" s="4" t="n"/>
      <c r="L24" s="7" t="n"/>
      <c r="M24" s="3" t="inlineStr">
        <is>
          <t>Alessia Fontenelle</t>
        </is>
      </c>
      <c r="N24" s="3" t="inlineStr">
        <is>
          <t>87 8817-9031</t>
        </is>
      </c>
      <c r="O24" s="8" t="inlineStr">
        <is>
          <t>alessiaf@uol.com.br</t>
        </is>
      </c>
      <c r="P24" s="9" t="inlineStr">
        <is>
          <t>Rua Engenheiro Carlos Pinheiro, 171
Centro, Petrolina-PE
CEP: 56302-310</t>
        </is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idden="1" s="317">
      <c r="A25" s="1" t="n"/>
      <c r="B25" s="3" t="inlineStr">
        <is>
          <t>La diferencia de los sexos no existe</t>
        </is>
      </c>
      <c r="C25" s="4" t="n">
        <v>1</v>
      </c>
      <c r="D25" s="5" t="n">
        <v>85</v>
      </c>
      <c r="E25" s="5">
        <f>D25*C25</f>
        <v/>
      </c>
      <c r="F25" s="5" t="n">
        <v>20</v>
      </c>
      <c r="G25" s="5">
        <f>F25+E25</f>
        <v/>
      </c>
      <c r="H25" s="6">
        <f>G25</f>
        <v/>
      </c>
      <c r="I25" s="7" t="n">
        <v>44419</v>
      </c>
      <c r="J25" s="4" t="inlineStr">
        <is>
          <t>Pix</t>
        </is>
      </c>
      <c r="K25" s="4" t="inlineStr">
        <is>
          <t>Motoboy</t>
        </is>
      </c>
      <c r="L25" s="7" t="n"/>
      <c r="M25" s="3" t="inlineStr">
        <is>
          <t>Ana Stela Sande</t>
        </is>
      </c>
      <c r="N25" s="3" t="n"/>
      <c r="O25" s="8" t="n"/>
      <c r="P25" s="3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idden="1" s="317">
      <c r="A26" s="1" t="n"/>
      <c r="B26" s="3" t="inlineStr">
        <is>
          <t>La diferencia de los sexos no existe</t>
        </is>
      </c>
      <c r="C26" s="4" t="n">
        <v>1</v>
      </c>
      <c r="D26" s="5" t="n">
        <v>85</v>
      </c>
      <c r="E26" s="5">
        <f>D26*C26</f>
        <v/>
      </c>
      <c r="F26" s="5" t="n">
        <v>0</v>
      </c>
      <c r="G26" s="5">
        <f>F26+E26</f>
        <v/>
      </c>
      <c r="H26" s="6">
        <f>G26</f>
        <v/>
      </c>
      <c r="I26" s="7" t="n">
        <v>44419</v>
      </c>
      <c r="J26" s="4" t="inlineStr">
        <is>
          <t>Pix</t>
        </is>
      </c>
      <c r="K26" s="4" t="inlineStr">
        <is>
          <t>Retirado com Salete</t>
        </is>
      </c>
      <c r="L26" s="7" t="n"/>
      <c r="M26" s="3" t="inlineStr">
        <is>
          <t>Julia Jones</t>
        </is>
      </c>
      <c r="N26" s="3" t="n"/>
      <c r="O26" s="8" t="n"/>
      <c r="P26" s="3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idden="1" s="317">
      <c r="A27" s="1" t="n"/>
      <c r="B27" s="3" t="inlineStr">
        <is>
          <t>La diferencia de los sexos no existe</t>
        </is>
      </c>
      <c r="C27" s="4" t="n">
        <v>1</v>
      </c>
      <c r="D27" s="5" t="n">
        <v>85</v>
      </c>
      <c r="E27" s="5">
        <f>D27*C27</f>
        <v/>
      </c>
      <c r="F27" s="5" t="n">
        <v>0</v>
      </c>
      <c r="G27" s="5">
        <f>F27+E27</f>
        <v/>
      </c>
      <c r="H27" s="6">
        <f>G27</f>
        <v/>
      </c>
      <c r="I27" s="7" t="n">
        <v>44419</v>
      </c>
      <c r="J27" s="4" t="inlineStr">
        <is>
          <t>Pix</t>
        </is>
      </c>
      <c r="K27" s="4" t="inlineStr">
        <is>
          <t>JN692354241BR</t>
        </is>
      </c>
      <c r="L27" s="7" t="n">
        <v>44440</v>
      </c>
      <c r="M27" s="18" t="inlineStr">
        <is>
          <t>Pedro Roberto Ivo das Neves</t>
        </is>
      </c>
      <c r="N27" s="3" t="inlineStr">
        <is>
          <t>77 9905-7667</t>
        </is>
      </c>
      <c r="O27" s="8" t="inlineStr">
        <is>
          <t>pedro.clinica@gmail.com</t>
        </is>
      </c>
      <c r="P27" s="9" t="inlineStr">
        <is>
          <t>RUA ULISSES DO PRADO, 20, CASA, BAIRRO CANDEIAS - CEP 45028-662 - VITORIA DA CONQUISTA - BA</t>
        </is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idden="1" s="317">
      <c r="A28" s="1" t="n"/>
      <c r="B28" s="3" t="inlineStr">
        <is>
          <t>La diferencia de los sexos no existe</t>
        </is>
      </c>
      <c r="C28" s="4" t="n">
        <v>1</v>
      </c>
      <c r="D28" s="5" t="n">
        <v>85</v>
      </c>
      <c r="E28" s="5">
        <f>D28*C28</f>
        <v/>
      </c>
      <c r="F28" s="5" t="n">
        <v>0</v>
      </c>
      <c r="G28" s="5">
        <f>F28+E28</f>
        <v/>
      </c>
      <c r="H28" s="6">
        <f>G28</f>
        <v/>
      </c>
      <c r="I28" s="7" t="n">
        <v>44419</v>
      </c>
      <c r="J28" s="4" t="inlineStr">
        <is>
          <t>Pix</t>
        </is>
      </c>
      <c r="K28" s="4" t="inlineStr">
        <is>
          <t>JN692352435BR</t>
        </is>
      </c>
      <c r="L28" s="7" t="n">
        <v>44421</v>
      </c>
      <c r="M28" s="3" t="inlineStr">
        <is>
          <t>Camila Abreu Costa</t>
        </is>
      </c>
      <c r="N28" s="3" t="n"/>
      <c r="O28" s="8" t="n"/>
      <c r="P28" s="9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idden="1" s="317">
      <c r="A29" s="1" t="n"/>
      <c r="B29" s="3" t="inlineStr">
        <is>
          <t>La diferencia de los sexos no existe</t>
        </is>
      </c>
      <c r="C29" s="4" t="n">
        <v>1</v>
      </c>
      <c r="D29" s="5" t="n">
        <v>85</v>
      </c>
      <c r="E29" s="5">
        <f>D29*C29</f>
        <v/>
      </c>
      <c r="F29" s="5" t="n">
        <v>0</v>
      </c>
      <c r="G29" s="5">
        <f>F29+E29</f>
        <v/>
      </c>
      <c r="H29" s="6">
        <f>G29</f>
        <v/>
      </c>
      <c r="I29" s="7" t="n">
        <v>44419</v>
      </c>
      <c r="J29" s="4" t="inlineStr">
        <is>
          <t>Pix</t>
        </is>
      </c>
      <c r="K29" s="4" t="inlineStr">
        <is>
          <t>JN692352427BR</t>
        </is>
      </c>
      <c r="L29" s="7" t="n">
        <v>44421</v>
      </c>
      <c r="M29" s="9" t="inlineStr">
        <is>
          <t xml:space="preserve">Fátima Cristina de Argollo Bastos Lordêlo </t>
        </is>
      </c>
      <c r="N29" s="3" t="inlineStr">
        <is>
          <t>71 9328-0075</t>
        </is>
      </c>
      <c r="O29" s="3" t="n"/>
      <c r="P29" s="9" t="inlineStr">
        <is>
          <t>Av Dom João VI, 800 - Torre A/1703
Acupe, Condomínio Pátio Jardins
40285-000</t>
        </is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idden="1" s="317">
      <c r="A30" s="1" t="n"/>
      <c r="B30" s="3" t="inlineStr">
        <is>
          <t>La diferencia de los sexos no existe</t>
        </is>
      </c>
      <c r="C30" s="4" t="n">
        <v>1</v>
      </c>
      <c r="D30" s="5" t="n">
        <v>85</v>
      </c>
      <c r="E30" s="5">
        <f>D30*C30</f>
        <v/>
      </c>
      <c r="F30" s="5" t="n">
        <v>0</v>
      </c>
      <c r="G30" s="5">
        <f>F30+E30</f>
        <v/>
      </c>
      <c r="H30" s="6">
        <f>G30</f>
        <v/>
      </c>
      <c r="I30" s="7" t="n">
        <v>44420</v>
      </c>
      <c r="J30" s="4" t="inlineStr">
        <is>
          <t>Pix</t>
        </is>
      </c>
      <c r="K30" s="4" t="inlineStr">
        <is>
          <t>Thiago entregou</t>
        </is>
      </c>
      <c r="L30" s="7" t="n"/>
      <c r="M30" s="3" t="inlineStr">
        <is>
          <t>Lucy de Castro</t>
        </is>
      </c>
      <c r="N30" s="3" t="n"/>
      <c r="O30" s="8" t="n"/>
      <c r="P30" s="3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idden="1" s="317">
      <c r="A31" s="1" t="n"/>
      <c r="B31" s="3" t="inlineStr">
        <is>
          <t>La diferencia de los sexos no existe</t>
        </is>
      </c>
      <c r="C31" s="4" t="n">
        <v>1</v>
      </c>
      <c r="D31" s="5" t="n">
        <v>85</v>
      </c>
      <c r="E31" s="5">
        <f>D31*C31</f>
        <v/>
      </c>
      <c r="F31" s="5" t="n">
        <v>0</v>
      </c>
      <c r="G31" s="5">
        <f>F31+E31</f>
        <v/>
      </c>
      <c r="H31" s="6">
        <f>G31</f>
        <v/>
      </c>
      <c r="I31" s="7" t="n">
        <v>44420</v>
      </c>
      <c r="J31" s="4" t="inlineStr">
        <is>
          <t>Pix</t>
        </is>
      </c>
      <c r="K31" s="4" t="inlineStr">
        <is>
          <t>JN692352458BR</t>
        </is>
      </c>
      <c r="L31" s="7" t="n">
        <v>44421</v>
      </c>
      <c r="M31" s="18" t="inlineStr">
        <is>
          <t>Monica Hage</t>
        </is>
      </c>
      <c r="N31" s="3" t="n"/>
      <c r="O31" s="8" t="n"/>
      <c r="P31" s="9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idden="1" s="317">
      <c r="A32" s="1" t="n"/>
      <c r="B32" s="3" t="inlineStr">
        <is>
          <t>La diferencia de los sexos no existe</t>
        </is>
      </c>
      <c r="C32" s="4" t="n">
        <v>1</v>
      </c>
      <c r="D32" s="5" t="n">
        <v>85</v>
      </c>
      <c r="E32" s="5">
        <f>D32*C32</f>
        <v/>
      </c>
      <c r="F32" s="5" t="n">
        <v>6.85</v>
      </c>
      <c r="G32" s="5">
        <f>F32+E32</f>
        <v/>
      </c>
      <c r="H32" s="6">
        <f>G32</f>
        <v/>
      </c>
      <c r="I32" s="7" t="n">
        <v>44421</v>
      </c>
      <c r="J32" s="4" t="inlineStr">
        <is>
          <t>Pix</t>
        </is>
      </c>
      <c r="K32" s="4" t="inlineStr">
        <is>
          <t>JN692352444BR</t>
        </is>
      </c>
      <c r="L32" s="7" t="n">
        <v>44421</v>
      </c>
      <c r="M32" s="3" t="inlineStr">
        <is>
          <t>Regina Fernandes Raposo</t>
        </is>
      </c>
      <c r="N32" s="3" t="n"/>
      <c r="O32" s="8" t="n"/>
      <c r="P32" s="3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idden="1" s="317">
      <c r="A33" s="1" t="n"/>
      <c r="B33" s="3" t="n"/>
      <c r="C33" s="4" t="n"/>
      <c r="D33" s="5" t="n"/>
      <c r="E33" s="5">
        <f>D33*C33</f>
        <v/>
      </c>
      <c r="F33" s="5" t="n">
        <v>6.85</v>
      </c>
      <c r="G33" s="5">
        <f>F33+E33</f>
        <v/>
      </c>
      <c r="H33" s="6">
        <f>G33</f>
        <v/>
      </c>
      <c r="I33" s="7" t="n">
        <v>44424</v>
      </c>
      <c r="J33" s="4" t="inlineStr">
        <is>
          <t>Pix</t>
        </is>
      </c>
      <c r="K33" s="4" t="inlineStr">
        <is>
          <t>JN692352427BR</t>
        </is>
      </c>
      <c r="L33" s="7" t="n">
        <v>44421</v>
      </c>
      <c r="M33" s="9" t="inlineStr">
        <is>
          <t xml:space="preserve">Fátima Cristina de Argollo Bastos Lordêlo </t>
        </is>
      </c>
      <c r="N33" s="3" t="inlineStr">
        <is>
          <t>71 9328-0075</t>
        </is>
      </c>
      <c r="O33" s="3" t="n"/>
      <c r="P33" s="3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idden="1" s="317">
      <c r="A34" s="1" t="n"/>
      <c r="B34" s="3" t="n"/>
      <c r="C34" s="4" t="n"/>
      <c r="D34" s="5" t="n"/>
      <c r="E34" s="5">
        <f>D34*C34</f>
        <v/>
      </c>
      <c r="F34" s="5" t="n">
        <v>6.85</v>
      </c>
      <c r="G34" s="5">
        <f>F34+E34</f>
        <v/>
      </c>
      <c r="H34" s="6">
        <f>G34</f>
        <v/>
      </c>
      <c r="I34" s="7" t="n">
        <v>44424</v>
      </c>
      <c r="J34" s="4" t="inlineStr">
        <is>
          <t>Pix</t>
        </is>
      </c>
      <c r="K34" s="4" t="inlineStr">
        <is>
          <t>JN692352435BR</t>
        </is>
      </c>
      <c r="L34" s="7" t="n">
        <v>44421</v>
      </c>
      <c r="M34" s="3" t="inlineStr">
        <is>
          <t>Camila Abreu Costa</t>
        </is>
      </c>
      <c r="N34" s="3" t="n"/>
      <c r="O34" s="8" t="n"/>
      <c r="P34" s="3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idden="1" s="317">
      <c r="A35" s="1" t="n"/>
      <c r="B35" s="3" t="inlineStr">
        <is>
          <t>La diferencia de los sexos no existe</t>
        </is>
      </c>
      <c r="C35" s="4" t="n">
        <v>1</v>
      </c>
      <c r="D35" s="5" t="n">
        <v>85</v>
      </c>
      <c r="E35" s="5">
        <f>D35*C35</f>
        <v/>
      </c>
      <c r="F35" s="5" t="n">
        <v>0</v>
      </c>
      <c r="G35" s="5">
        <f>F35+E35</f>
        <v/>
      </c>
      <c r="H35" s="6">
        <f>G35</f>
        <v/>
      </c>
      <c r="I35" s="7" t="n">
        <v>44425</v>
      </c>
      <c r="J35" s="4" t="inlineStr">
        <is>
          <t>Pix</t>
        </is>
      </c>
      <c r="K35" s="4" t="inlineStr">
        <is>
          <t>JN692353189BR</t>
        </is>
      </c>
      <c r="L35" s="7" t="n">
        <v>44431</v>
      </c>
      <c r="M35" s="3" t="inlineStr">
        <is>
          <t>Marco Antonio Nunes da Silva</t>
        </is>
      </c>
      <c r="N35" s="3" t="n"/>
      <c r="O35" s="8" t="n"/>
      <c r="P35" s="3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idden="1" s="317">
      <c r="A36" s="1" t="n"/>
      <c r="B36" s="3" t="inlineStr">
        <is>
          <t>La diferencia de los sexos no existe</t>
        </is>
      </c>
      <c r="C36" s="4" t="n">
        <v>1</v>
      </c>
      <c r="D36" s="5" t="n">
        <v>85</v>
      </c>
      <c r="E36" s="5">
        <f>D36*C36</f>
        <v/>
      </c>
      <c r="F36" s="5" t="n">
        <v>0</v>
      </c>
      <c r="G36" s="5">
        <f>F36+E36</f>
        <v/>
      </c>
      <c r="H36" s="6">
        <f>G36</f>
        <v/>
      </c>
      <c r="I36" s="7" t="n">
        <v>44425</v>
      </c>
      <c r="J36" s="4" t="inlineStr">
        <is>
          <t>Pix</t>
        </is>
      </c>
      <c r="K36" s="4" t="inlineStr">
        <is>
          <t>Retirou</t>
        </is>
      </c>
      <c r="L36" s="7" t="n"/>
      <c r="M36" s="3" t="inlineStr">
        <is>
          <t>Bernardino Horne</t>
        </is>
      </c>
      <c r="N36" s="3" t="n"/>
      <c r="O36" s="8" t="n"/>
      <c r="P36" s="3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idden="1" s="317">
      <c r="A37" s="1" t="n"/>
      <c r="B37" s="3" t="inlineStr">
        <is>
          <t>La diferencia de los sexos no existe</t>
        </is>
      </c>
      <c r="C37" s="4" t="n">
        <v>1</v>
      </c>
      <c r="D37" s="5" t="n">
        <v>85</v>
      </c>
      <c r="E37" s="5">
        <f>D37*C37</f>
        <v/>
      </c>
      <c r="F37" s="5" t="n">
        <v>0</v>
      </c>
      <c r="G37" s="5">
        <f>F37+E37</f>
        <v/>
      </c>
      <c r="H37" s="6">
        <f>G37</f>
        <v/>
      </c>
      <c r="I37" s="7" t="n">
        <v>44426</v>
      </c>
      <c r="J37" s="4" t="inlineStr">
        <is>
          <t>Pix</t>
        </is>
      </c>
      <c r="K37" s="4" t="inlineStr">
        <is>
          <t>Retirou</t>
        </is>
      </c>
      <c r="L37" s="7" t="n"/>
      <c r="M37" s="3" t="inlineStr">
        <is>
          <t>Tania Porto</t>
        </is>
      </c>
      <c r="N37" s="3" t="n"/>
      <c r="O37" s="8" t="n"/>
      <c r="P37" s="3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idden="1" s="317">
      <c r="A38" s="1" t="n"/>
      <c r="B38" s="3" t="inlineStr">
        <is>
          <t>1, 2, 3, 4 - Tomo I</t>
        </is>
      </c>
      <c r="C38" s="4" t="n">
        <v>1</v>
      </c>
      <c r="D38" s="5" t="n">
        <v>169</v>
      </c>
      <c r="E38" s="5">
        <f>D38*C38</f>
        <v/>
      </c>
      <c r="F38" s="5" t="n">
        <v>0</v>
      </c>
      <c r="G38" s="5">
        <f>F38+E38</f>
        <v/>
      </c>
      <c r="H38" s="6">
        <f>G38</f>
        <v/>
      </c>
      <c r="I38" s="7" t="n">
        <v>44431</v>
      </c>
      <c r="J38" s="4" t="inlineStr">
        <is>
          <t>Pix</t>
        </is>
      </c>
      <c r="K38" s="4" t="inlineStr">
        <is>
          <t>Retirou</t>
        </is>
      </c>
      <c r="L38" s="7" t="n"/>
      <c r="M38" s="3" t="inlineStr">
        <is>
          <t>Giovana Reis Mesquita</t>
        </is>
      </c>
      <c r="N38" s="33" t="inlineStr">
        <is>
          <t>71 8195-7257</t>
        </is>
      </c>
      <c r="O38" s="8" t="n"/>
      <c r="P38" s="3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s="317">
      <c r="A39" s="1" t="n"/>
      <c r="B39" s="3" t="inlineStr">
        <is>
          <t>Coordenadas para la psicosis Diaria</t>
        </is>
      </c>
      <c r="C39" s="4" t="n">
        <v>1</v>
      </c>
      <c r="D39" s="5" t="n">
        <v>125</v>
      </c>
      <c r="E39" s="5">
        <f>D39*C39</f>
        <v/>
      </c>
      <c r="F39" s="5" t="n">
        <v>0</v>
      </c>
      <c r="G39" s="5">
        <f>F39+E39</f>
        <v/>
      </c>
      <c r="H39" s="6">
        <f>G39+G40</f>
        <v/>
      </c>
      <c r="I39" s="7" t="n">
        <v>44431</v>
      </c>
      <c r="J39" s="7" t="inlineStr">
        <is>
          <t>Pix</t>
        </is>
      </c>
      <c r="K39" s="7" t="inlineStr">
        <is>
          <t>Retirou</t>
        </is>
      </c>
      <c r="L39" s="7" t="n"/>
      <c r="M39" s="318" t="inlineStr">
        <is>
          <t>Nora Gonçalves</t>
        </is>
      </c>
      <c r="N39" s="318" t="n"/>
      <c r="O39" s="318" t="n"/>
      <c r="P39" s="318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idden="1" s="317">
      <c r="A40" s="1" t="n"/>
      <c r="B40" s="3" t="inlineStr">
        <is>
          <t>Modo de gozar en femenino</t>
        </is>
      </c>
      <c r="C40" s="4" t="n">
        <v>1</v>
      </c>
      <c r="D40" s="5" t="n">
        <v>98</v>
      </c>
      <c r="E40" s="5">
        <f>D40*C40</f>
        <v/>
      </c>
      <c r="F40" s="5" t="n">
        <v>0</v>
      </c>
      <c r="G40" s="5">
        <f>F40+E40</f>
        <v/>
      </c>
      <c r="H40" s="320" t="n"/>
      <c r="I40" s="320" t="n"/>
      <c r="J40" s="320" t="n"/>
      <c r="K40" s="320" t="n"/>
      <c r="L40" s="320" t="n"/>
      <c r="M40" s="320" t="n"/>
      <c r="N40" s="320" t="n"/>
      <c r="O40" s="320" t="n"/>
      <c r="P40" s="320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s="317">
      <c r="A41" s="1" t="n"/>
      <c r="B41" s="3" t="n"/>
      <c r="C41" s="4" t="n"/>
      <c r="D41" s="5" t="n"/>
      <c r="E41" s="5">
        <f>D41*C41</f>
        <v/>
      </c>
      <c r="F41" s="5" t="n">
        <v>7</v>
      </c>
      <c r="G41" s="5">
        <f>F41+E41</f>
        <v/>
      </c>
      <c r="H41" s="6">
        <f>G41</f>
        <v/>
      </c>
      <c r="I41" s="7" t="n">
        <v>44431</v>
      </c>
      <c r="J41" s="4" t="inlineStr">
        <is>
          <t>Pix</t>
        </is>
      </c>
      <c r="K41" s="4" t="inlineStr">
        <is>
          <t>JN692353189BR</t>
        </is>
      </c>
      <c r="L41" s="7" t="n">
        <v>44431</v>
      </c>
      <c r="M41" s="3" t="inlineStr">
        <is>
          <t>Marco Antonio Nunes da Silva</t>
        </is>
      </c>
      <c r="N41" s="3" t="n"/>
      <c r="O41" s="8" t="n"/>
      <c r="P41" s="3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idden="1" s="317">
      <c r="A42" s="1" t="n"/>
      <c r="B42" s="3" t="inlineStr">
        <is>
          <t>1, 2, 3, 4 - Tomo I</t>
        </is>
      </c>
      <c r="C42" s="4" t="n">
        <v>1</v>
      </c>
      <c r="D42" s="5" t="n">
        <v>169</v>
      </c>
      <c r="E42" s="5">
        <f>D42*C42</f>
        <v/>
      </c>
      <c r="F42" s="5" t="n">
        <v>0</v>
      </c>
      <c r="G42" s="5">
        <f>F42+E42</f>
        <v/>
      </c>
      <c r="H42" s="6">
        <f>G42</f>
        <v/>
      </c>
      <c r="I42" s="7" t="n">
        <v>44432</v>
      </c>
      <c r="J42" s="4" t="inlineStr">
        <is>
          <t>Pix</t>
        </is>
      </c>
      <c r="K42" s="4" t="inlineStr">
        <is>
          <t>Retirou</t>
        </is>
      </c>
      <c r="L42" s="7" t="n"/>
      <c r="M42" s="3" t="inlineStr">
        <is>
          <t>Maria Luiza Sarno</t>
        </is>
      </c>
      <c r="N42" s="33" t="inlineStr">
        <is>
          <t>71 8892-2826</t>
        </is>
      </c>
      <c r="O42" s="39" t="inlineStr">
        <is>
          <t>luizasarno100@gmail.com</t>
        </is>
      </c>
      <c r="P42" s="3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idden="1" s="317">
      <c r="A43" s="1" t="n"/>
      <c r="B43" s="3" t="inlineStr">
        <is>
          <t>1, 2, 3, 4 - Tomo I</t>
        </is>
      </c>
      <c r="C43" s="4" t="n">
        <v>1</v>
      </c>
      <c r="D43" s="5" t="n">
        <v>169</v>
      </c>
      <c r="E43" s="5">
        <f>D43*C43</f>
        <v/>
      </c>
      <c r="F43" s="5" t="n">
        <v>0</v>
      </c>
      <c r="G43" s="5">
        <f>F43+E43</f>
        <v/>
      </c>
      <c r="H43" s="6">
        <f>G43</f>
        <v/>
      </c>
      <c r="I43" s="7" t="n">
        <v>44432</v>
      </c>
      <c r="J43" s="4" t="inlineStr">
        <is>
          <t>Pix</t>
        </is>
      </c>
      <c r="K43" s="4" t="inlineStr">
        <is>
          <t>Retirou</t>
        </is>
      </c>
      <c r="L43" s="7" t="n"/>
      <c r="M43" s="3" t="inlineStr">
        <is>
          <t>Maria Luiza Mota Miranda</t>
        </is>
      </c>
      <c r="N43" s="3" t="n"/>
      <c r="O43" s="8" t="n"/>
      <c r="P43" s="3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idden="1" s="317">
      <c r="A44" s="1" t="n"/>
      <c r="B44" s="3" t="inlineStr">
        <is>
          <t>1, 2, 3, 4 - Tomo I</t>
        </is>
      </c>
      <c r="C44" s="4" t="n">
        <v>1</v>
      </c>
      <c r="D44" s="5" t="n">
        <v>169</v>
      </c>
      <c r="E44" s="5">
        <f>D44*C44</f>
        <v/>
      </c>
      <c r="F44" s="5" t="n">
        <v>0</v>
      </c>
      <c r="G44" s="5">
        <f>F44+E44</f>
        <v/>
      </c>
      <c r="H44" s="6">
        <f>G44</f>
        <v/>
      </c>
      <c r="I44" s="7" t="n">
        <v>44432</v>
      </c>
      <c r="J44" s="4" t="inlineStr">
        <is>
          <t>Pix</t>
        </is>
      </c>
      <c r="K44" s="4" t="inlineStr">
        <is>
          <t>Retirou</t>
        </is>
      </c>
      <c r="L44" s="7" t="n"/>
      <c r="M44" s="3" t="inlineStr">
        <is>
          <t>Nora Gonçalves</t>
        </is>
      </c>
      <c r="N44" s="3" t="n"/>
      <c r="O44" s="8" t="n"/>
      <c r="P44" s="3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idden="1" s="317">
      <c r="A45" s="1" t="n"/>
      <c r="B45" s="3" t="inlineStr">
        <is>
          <t>1, 2, 3, 4 - Tomo I</t>
        </is>
      </c>
      <c r="C45" s="4" t="n">
        <v>1</v>
      </c>
      <c r="D45" s="5" t="n">
        <v>169</v>
      </c>
      <c r="E45" s="5">
        <f>D45*C45</f>
        <v/>
      </c>
      <c r="F45" s="5" t="n">
        <v>0</v>
      </c>
      <c r="G45" s="5">
        <f>F45+E45</f>
        <v/>
      </c>
      <c r="H45" s="6">
        <f>G45</f>
        <v/>
      </c>
      <c r="I45" s="7" t="n">
        <v>44433</v>
      </c>
      <c r="J45" s="4" t="inlineStr">
        <is>
          <t>Pix</t>
        </is>
      </c>
      <c r="K45" s="4" t="inlineStr">
        <is>
          <t>Retirou</t>
        </is>
      </c>
      <c r="L45" s="7" t="n"/>
      <c r="M45" s="3" t="inlineStr">
        <is>
          <t>Marcela Antelo</t>
        </is>
      </c>
      <c r="N45" s="3" t="n"/>
      <c r="O45" s="8" t="n"/>
      <c r="P45" s="3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idden="1" s="317">
      <c r="A46" s="1" t="n"/>
      <c r="B46" s="3" t="inlineStr">
        <is>
          <t>1, 2, 3, 4 - Tomo I</t>
        </is>
      </c>
      <c r="C46" s="4" t="n">
        <v>1</v>
      </c>
      <c r="D46" s="5" t="n">
        <v>138.3</v>
      </c>
      <c r="E46" s="5">
        <f>D46*C46</f>
        <v/>
      </c>
      <c r="F46" s="5" t="n">
        <v>0</v>
      </c>
      <c r="G46" s="5">
        <f>F46+E46</f>
        <v/>
      </c>
      <c r="H46" s="6">
        <f>G46</f>
        <v/>
      </c>
      <c r="I46" s="7" t="n">
        <v>44433</v>
      </c>
      <c r="J46" s="4" t="inlineStr">
        <is>
          <t>Pix</t>
        </is>
      </c>
      <c r="K46" s="4" t="inlineStr">
        <is>
          <t>JN692353175BR</t>
        </is>
      </c>
      <c r="L46" s="7" t="n">
        <v>44431</v>
      </c>
      <c r="M46" s="3" t="inlineStr">
        <is>
          <t>Alessia Fontenelle</t>
        </is>
      </c>
      <c r="N46" s="3" t="inlineStr">
        <is>
          <t>87 8817-9031</t>
        </is>
      </c>
      <c r="O46" s="8" t="inlineStr">
        <is>
          <t>alessiaf@uol.com.br</t>
        </is>
      </c>
      <c r="P46" s="9" t="inlineStr">
        <is>
          <t>Rua Engenheiro Carlos Pinheiro, 171
Centro, Petrolina-PE
CEP: 56302-310</t>
        </is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idden="1" s="317">
      <c r="A47" s="1" t="n"/>
      <c r="B47" s="3" t="inlineStr">
        <is>
          <t>1, 2, 3, 4 - Tomo I</t>
        </is>
      </c>
      <c r="C47" s="4" t="n">
        <v>1</v>
      </c>
      <c r="D47" s="5" t="n">
        <v>170</v>
      </c>
      <c r="E47" s="5">
        <f>D47*C47</f>
        <v/>
      </c>
      <c r="F47" s="5" t="n">
        <v>0</v>
      </c>
      <c r="G47" s="5">
        <f>F47+E47</f>
        <v/>
      </c>
      <c r="H47" s="6">
        <f>G47</f>
        <v/>
      </c>
      <c r="I47" s="7" t="n">
        <v>44433</v>
      </c>
      <c r="J47" s="4" t="inlineStr">
        <is>
          <t>Pix</t>
        </is>
      </c>
      <c r="K47" s="4" t="inlineStr">
        <is>
          <t>Retirou</t>
        </is>
      </c>
      <c r="L47" s="7" t="n"/>
      <c r="M47" s="36" t="inlineStr">
        <is>
          <t>Tania Abreu</t>
        </is>
      </c>
      <c r="N47" s="36" t="inlineStr">
        <is>
          <t>71 8836-4345</t>
        </is>
      </c>
      <c r="O47" s="40" t="inlineStr">
        <is>
          <t>taniaabreu.ta@gmail.com</t>
        </is>
      </c>
      <c r="P47" s="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idden="1" s="317">
      <c r="A48" s="1" t="n"/>
      <c r="B48" s="3" t="inlineStr">
        <is>
          <t>1, 2, 3, 4 - Tomo I</t>
        </is>
      </c>
      <c r="C48" s="4" t="n">
        <v>1</v>
      </c>
      <c r="D48" s="5" t="n">
        <v>169</v>
      </c>
      <c r="E48" s="5">
        <f>D48*C48</f>
        <v/>
      </c>
      <c r="F48" s="5" t="n">
        <v>0</v>
      </c>
      <c r="G48" s="5">
        <f>F48+E48</f>
        <v/>
      </c>
      <c r="H48" s="6">
        <f>G48</f>
        <v/>
      </c>
      <c r="I48" s="7" t="n">
        <v>44434</v>
      </c>
      <c r="J48" s="4" t="inlineStr">
        <is>
          <t>Pix</t>
        </is>
      </c>
      <c r="K48" s="4" t="inlineStr">
        <is>
          <t>Retirado com Salete</t>
        </is>
      </c>
      <c r="L48" s="7" t="n"/>
      <c r="M48" s="3" t="inlineStr">
        <is>
          <t>Iordan Gurgel</t>
        </is>
      </c>
      <c r="N48" s="3" t="n"/>
      <c r="O48" s="8" t="n"/>
      <c r="P48" s="3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idden="1" s="317">
      <c r="A49" s="1" t="n"/>
      <c r="B49" s="3" t="inlineStr">
        <is>
          <t>1, 2, 3, 4 - Tomo I</t>
        </is>
      </c>
      <c r="C49" s="4" t="n">
        <v>1</v>
      </c>
      <c r="D49" s="5" t="n">
        <v>169</v>
      </c>
      <c r="E49" s="5">
        <f>D49*C49</f>
        <v/>
      </c>
      <c r="F49" s="5" t="n">
        <v>0</v>
      </c>
      <c r="G49" s="5">
        <f>F49+E49</f>
        <v/>
      </c>
      <c r="H49" s="6">
        <f>G49+G50</f>
        <v/>
      </c>
      <c r="I49" s="7" t="n">
        <v>44435</v>
      </c>
      <c r="J49" s="7" t="inlineStr">
        <is>
          <t>Pix</t>
        </is>
      </c>
      <c r="K49" s="7" t="inlineStr">
        <is>
          <t>Retirou</t>
        </is>
      </c>
      <c r="L49" s="7" t="n"/>
      <c r="M49" s="318" t="inlineStr">
        <is>
          <t>Fatima Sarmento</t>
        </is>
      </c>
      <c r="N49" s="4" t="inlineStr">
        <is>
          <t>71 8136-9726</t>
        </is>
      </c>
      <c r="O49" s="330" t="inlineStr">
        <is>
          <t>fatima.asarmento@gmail.com</t>
        </is>
      </c>
      <c r="P49" s="318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idden="1" s="317">
      <c r="A50" s="1" t="n"/>
      <c r="B50" s="3" t="inlineStr">
        <is>
          <t>La diferencia de los sexos no existe</t>
        </is>
      </c>
      <c r="C50" s="4" t="n">
        <v>1</v>
      </c>
      <c r="D50" s="5" t="n">
        <v>85</v>
      </c>
      <c r="E50" s="5">
        <f>D50*C50</f>
        <v/>
      </c>
      <c r="F50" s="5" t="n">
        <v>0</v>
      </c>
      <c r="G50" s="5">
        <f>F50+E50</f>
        <v/>
      </c>
      <c r="H50" s="320" t="n"/>
      <c r="I50" s="320" t="n"/>
      <c r="J50" s="320" t="n"/>
      <c r="K50" s="320" t="n"/>
      <c r="L50" s="320" t="n"/>
      <c r="M50" s="320" t="n"/>
      <c r="N50" s="320" t="n"/>
      <c r="O50" s="320" t="n"/>
      <c r="P50" s="320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idden="1" s="317">
      <c r="A51" s="1" t="n"/>
      <c r="B51" s="3" t="inlineStr">
        <is>
          <t>1, 2, 3, 4 - Tomo I</t>
        </is>
      </c>
      <c r="C51" s="4" t="n">
        <v>1</v>
      </c>
      <c r="D51" s="5" t="n">
        <v>169</v>
      </c>
      <c r="E51" s="5">
        <f>D51*C51</f>
        <v/>
      </c>
      <c r="F51" s="5" t="n">
        <v>20</v>
      </c>
      <c r="G51" s="5">
        <f>F51+E51</f>
        <v/>
      </c>
      <c r="H51" s="6">
        <f>G51</f>
        <v/>
      </c>
      <c r="I51" s="7" t="n">
        <v>44435</v>
      </c>
      <c r="J51" s="4" t="inlineStr">
        <is>
          <t>Pix</t>
        </is>
      </c>
      <c r="K51" s="4" t="inlineStr">
        <is>
          <t>Motoboy</t>
        </is>
      </c>
      <c r="L51" s="7" t="n"/>
      <c r="M51" s="3" t="inlineStr">
        <is>
          <t>Ana Stela Sande</t>
        </is>
      </c>
      <c r="N51" s="3" t="n"/>
      <c r="O51" s="8" t="n"/>
      <c r="P51" s="3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idden="1" s="317">
      <c r="A52" s="1" t="n"/>
      <c r="B52" s="3" t="inlineStr">
        <is>
          <t>1, 2, 3, 4 - Tomo I</t>
        </is>
      </c>
      <c r="C52" s="4" t="n">
        <v>1</v>
      </c>
      <c r="D52" s="5" t="n">
        <v>169</v>
      </c>
      <c r="E52" s="5">
        <f>D52*C52</f>
        <v/>
      </c>
      <c r="F52" s="5" t="n">
        <v>0</v>
      </c>
      <c r="G52" s="5">
        <f>F52+E52</f>
        <v/>
      </c>
      <c r="H52" s="6">
        <f>G52</f>
        <v/>
      </c>
      <c r="I52" s="7" t="n">
        <v>44438</v>
      </c>
      <c r="J52" s="4" t="inlineStr">
        <is>
          <t>Pix</t>
        </is>
      </c>
      <c r="K52" s="4" t="inlineStr">
        <is>
          <t>Retirou</t>
        </is>
      </c>
      <c r="L52" s="7" t="n"/>
      <c r="M52" s="3" t="inlineStr">
        <is>
          <t>Tania Porto</t>
        </is>
      </c>
      <c r="N52" s="3" t="n"/>
      <c r="O52" s="8" t="n"/>
      <c r="P52" s="3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idden="1" s="317">
      <c r="A53" s="1" t="n"/>
      <c r="B53" s="9" t="inlineStr">
        <is>
          <t>Topología del amor</t>
        </is>
      </c>
      <c r="C53" s="4" t="n">
        <v>1</v>
      </c>
      <c r="D53" s="5" t="n">
        <v>85</v>
      </c>
      <c r="E53" s="5">
        <f>D53*C53</f>
        <v/>
      </c>
      <c r="F53" s="5" t="n">
        <v>0</v>
      </c>
      <c r="G53" s="5">
        <f>F53+E53</f>
        <v/>
      </c>
      <c r="H53" s="6">
        <f>G53+G54+G55</f>
        <v/>
      </c>
      <c r="I53" s="7" t="n">
        <v>44438</v>
      </c>
      <c r="J53" s="7" t="inlineStr">
        <is>
          <t>Pix</t>
        </is>
      </c>
      <c r="K53" s="7" t="inlineStr">
        <is>
          <t>Retirou</t>
        </is>
      </c>
      <c r="L53" s="7" t="n"/>
      <c r="M53" s="318" t="inlineStr">
        <is>
          <t>Vanessa Borges Farias</t>
        </is>
      </c>
      <c r="N53" s="318" t="inlineStr">
        <is>
          <t>71 8844-3990</t>
        </is>
      </c>
      <c r="O53" s="329" t="inlineStr">
        <is>
          <t>vanessabf12@gmail.com</t>
        </is>
      </c>
      <c r="P53" s="318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idden="1" s="317">
      <c r="A54" s="1" t="n"/>
      <c r="B54" s="9" t="inlineStr">
        <is>
          <t>Lo Femenino, entre centro y ausencia</t>
        </is>
      </c>
      <c r="C54" s="4" t="n">
        <v>1</v>
      </c>
      <c r="D54" s="5" t="n">
        <v>130</v>
      </c>
      <c r="E54" s="5">
        <f>D54*C54</f>
        <v/>
      </c>
      <c r="F54" s="5" t="n">
        <v>0</v>
      </c>
      <c r="G54" s="5">
        <f>F54+E54</f>
        <v/>
      </c>
      <c r="H54" s="321" t="n"/>
      <c r="I54" s="321" t="n"/>
      <c r="J54" s="321" t="n"/>
      <c r="K54" s="321" t="n"/>
      <c r="L54" s="321" t="n"/>
      <c r="M54" s="321" t="n"/>
      <c r="N54" s="321" t="n"/>
      <c r="O54" s="321" t="n"/>
      <c r="P54" s="32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idden="1" s="317">
      <c r="A55" s="1" t="n"/>
      <c r="B55" s="9" t="inlineStr">
        <is>
          <t>Revista Resonancias nº 5</t>
        </is>
      </c>
      <c r="C55" s="4" t="n">
        <v>1</v>
      </c>
      <c r="D55" s="5" t="n">
        <v>85</v>
      </c>
      <c r="E55" s="5">
        <f>D55*C55</f>
        <v/>
      </c>
      <c r="F55" s="5" t="n">
        <v>0</v>
      </c>
      <c r="G55" s="5">
        <f>F55+E55</f>
        <v/>
      </c>
      <c r="H55" s="320" t="n"/>
      <c r="I55" s="320" t="n"/>
      <c r="J55" s="320" t="n"/>
      <c r="K55" s="320" t="n"/>
      <c r="L55" s="320" t="n"/>
      <c r="M55" s="320" t="n"/>
      <c r="N55" s="320" t="n"/>
      <c r="O55" s="320" t="n"/>
      <c r="P55" s="320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idden="1" s="317">
      <c r="A56" s="1" t="n"/>
      <c r="B56" s="3" t="inlineStr">
        <is>
          <t>La diferencia de los sexos no existe</t>
        </is>
      </c>
      <c r="C56" s="4" t="n">
        <v>1</v>
      </c>
      <c r="D56" s="5" t="n">
        <v>85</v>
      </c>
      <c r="E56" s="5">
        <f>D56*C56</f>
        <v/>
      </c>
      <c r="F56" s="5" t="n">
        <v>0</v>
      </c>
      <c r="G56" s="5">
        <f>F56+E56</f>
        <v/>
      </c>
      <c r="H56" s="6">
        <f>G56+G57</f>
        <v/>
      </c>
      <c r="I56" s="7" t="n">
        <v>44438</v>
      </c>
      <c r="J56" s="7" t="inlineStr">
        <is>
          <t>Pix</t>
        </is>
      </c>
      <c r="K56" s="7" t="inlineStr">
        <is>
          <t>Retirou</t>
        </is>
      </c>
      <c r="L56" s="7" t="n"/>
      <c r="M56" s="318" t="inlineStr">
        <is>
          <t>Debora Gil Pantaleão</t>
        </is>
      </c>
      <c r="N56" s="318" t="n"/>
      <c r="O56" s="318" t="n"/>
      <c r="P56" s="318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idden="1" s="317">
      <c r="A57" s="1" t="n"/>
      <c r="B57" s="3" t="inlineStr">
        <is>
          <t>Modo de gozar en femenino</t>
        </is>
      </c>
      <c r="C57" s="4" t="n">
        <v>1</v>
      </c>
      <c r="D57" s="5" t="n">
        <v>98</v>
      </c>
      <c r="E57" s="5">
        <f>D57*C57</f>
        <v/>
      </c>
      <c r="F57" s="5" t="n">
        <v>0</v>
      </c>
      <c r="G57" s="5">
        <f>F57+E57</f>
        <v/>
      </c>
      <c r="H57" s="320" t="n"/>
      <c r="I57" s="320" t="n"/>
      <c r="J57" s="320" t="n"/>
      <c r="K57" s="320" t="n"/>
      <c r="L57" s="320" t="n"/>
      <c r="M57" s="320" t="n"/>
      <c r="N57" s="320" t="n"/>
      <c r="O57" s="320" t="n"/>
      <c r="P57" s="320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idden="1" s="317">
      <c r="A58" s="1" t="n"/>
      <c r="B58" s="3" t="n"/>
      <c r="C58" s="4" t="n"/>
      <c r="D58" s="5" t="n"/>
      <c r="E58" s="5">
        <f>D58*C58</f>
        <v/>
      </c>
      <c r="F58" s="5" t="n">
        <v>6.85</v>
      </c>
      <c r="G58" s="5">
        <f>F58+E58</f>
        <v/>
      </c>
      <c r="H58" s="6">
        <f>G58</f>
        <v/>
      </c>
      <c r="I58" s="7" t="n">
        <v>44440</v>
      </c>
      <c r="J58" s="4" t="inlineStr">
        <is>
          <t>Pix</t>
        </is>
      </c>
      <c r="K58" s="4" t="inlineStr">
        <is>
          <t>JN692354241BR</t>
        </is>
      </c>
      <c r="L58" s="7" t="n">
        <v>44440</v>
      </c>
      <c r="M58" s="3" t="inlineStr">
        <is>
          <t>Pedro Roberto Ivo das Neves</t>
        </is>
      </c>
      <c r="N58" s="3" t="inlineStr">
        <is>
          <t>77 9905-7667</t>
        </is>
      </c>
      <c r="O58" s="8" t="inlineStr">
        <is>
          <t>pedro.clinica@gmail.com</t>
        </is>
      </c>
      <c r="P58" s="9" t="inlineStr">
        <is>
          <t>RUA ULISSES DO PRADO, 20, CASA, BAIRRO CANDEIAS - CEP 45028-662 - VITORIA DA CONQUISTA - BA</t>
        </is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idden="1" s="317">
      <c r="A59" s="1" t="n"/>
      <c r="B59" s="3" t="inlineStr">
        <is>
          <t>1, 2, 3, 4 - Tomo I</t>
        </is>
      </c>
      <c r="C59" s="4" t="n">
        <v>1</v>
      </c>
      <c r="D59" s="5" t="n">
        <v>169</v>
      </c>
      <c r="E59" s="5">
        <f>D59*C59</f>
        <v/>
      </c>
      <c r="F59" s="5" t="n">
        <v>10.3</v>
      </c>
      <c r="G59" s="5">
        <f>F59+E59</f>
        <v/>
      </c>
      <c r="H59" s="6">
        <f>G59</f>
        <v/>
      </c>
      <c r="I59" s="7" t="n">
        <v>44440</v>
      </c>
      <c r="J59" s="4" t="inlineStr">
        <is>
          <t>Pix</t>
        </is>
      </c>
      <c r="K59" s="4" t="inlineStr">
        <is>
          <t>JN692354238BR</t>
        </is>
      </c>
      <c r="L59" s="7" t="n">
        <v>44440</v>
      </c>
      <c r="M59" s="3" t="inlineStr">
        <is>
          <t>Antonio Eunize de Oliveira</t>
        </is>
      </c>
      <c r="N59" s="3" t="n"/>
      <c r="O59" s="8" t="n"/>
      <c r="P59" s="3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idden="1" s="317">
      <c r="A60" s="1" t="n"/>
      <c r="B60" s="3" t="inlineStr">
        <is>
          <t>1, 2, 3, 4 - Tomo I</t>
        </is>
      </c>
      <c r="C60" s="4" t="n">
        <v>2</v>
      </c>
      <c r="D60" s="5" t="n">
        <v>169</v>
      </c>
      <c r="E60" s="5">
        <f>D60*C60</f>
        <v/>
      </c>
      <c r="F60" s="5" t="n">
        <v>14</v>
      </c>
      <c r="G60" s="5">
        <f>F60+E60</f>
        <v/>
      </c>
      <c r="H60" s="6">
        <f>G60</f>
        <v/>
      </c>
      <c r="I60" s="7" t="n">
        <v>44445</v>
      </c>
      <c r="J60" s="4" t="inlineStr">
        <is>
          <t>Pix</t>
        </is>
      </c>
      <c r="K60" s="4" t="inlineStr">
        <is>
          <t>JN692355278BR</t>
        </is>
      </c>
      <c r="L60" s="7" t="n">
        <v>44447</v>
      </c>
      <c r="M60" s="3" t="inlineStr">
        <is>
          <t>Andrea Maria Guisoli Mendonça</t>
        </is>
      </c>
      <c r="N60" s="3" t="n"/>
      <c r="O60" s="8" t="inlineStr">
        <is>
          <t>andreaguisoli@gmail.com</t>
        </is>
      </c>
      <c r="P60" s="9" t="inlineStr">
        <is>
          <t>Rua Hélio Newton Pereira 1411
Morada do Sol 
Montes Claros MG
39.403-275</t>
        </is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idden="1" s="317">
      <c r="A61" s="1" t="n"/>
      <c r="B61" s="3" t="inlineStr">
        <is>
          <t>1, 2, 3, 4 - Tomo I</t>
        </is>
      </c>
      <c r="C61" s="4" t="n">
        <v>1</v>
      </c>
      <c r="D61" s="5" t="n">
        <v>169</v>
      </c>
      <c r="E61" s="5">
        <f>D61*C61</f>
        <v/>
      </c>
      <c r="F61" s="5" t="n">
        <v>20</v>
      </c>
      <c r="G61" s="5">
        <f>F61+E61</f>
        <v/>
      </c>
      <c r="H61" s="6">
        <f>G61+G62</f>
        <v/>
      </c>
      <c r="I61" s="7" t="n">
        <v>44445</v>
      </c>
      <c r="J61" s="4" t="inlineStr">
        <is>
          <t>Transferência</t>
        </is>
      </c>
      <c r="K61" s="4" t="inlineStr">
        <is>
          <t>Motoboy</t>
        </is>
      </c>
      <c r="L61" s="7" t="n">
        <v>44447</v>
      </c>
      <c r="M61" s="18" t="inlineStr">
        <is>
          <t>Celia Salles</t>
        </is>
      </c>
      <c r="N61" s="18" t="inlineStr">
        <is>
          <t>71 9964-6773</t>
        </is>
      </c>
      <c r="O61" s="18" t="inlineStr">
        <is>
          <t xml:space="preserve">cmcsalles@uol.com.br </t>
        </is>
      </c>
      <c r="P61" s="18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idden="1" s="317">
      <c r="A62" s="1" t="n"/>
      <c r="B62" s="3" t="inlineStr">
        <is>
          <t>La diferencia de los sexos no existe</t>
        </is>
      </c>
      <c r="C62" s="4" t="n">
        <v>1</v>
      </c>
      <c r="D62" s="5" t="n">
        <v>85</v>
      </c>
      <c r="E62" s="5">
        <f>D62*C62</f>
        <v/>
      </c>
      <c r="F62" s="5" t="n">
        <v>0</v>
      </c>
      <c r="G62" s="5">
        <f>F62+E62</f>
        <v/>
      </c>
      <c r="H62" s="320" t="n"/>
      <c r="I62" s="320" t="n"/>
      <c r="J62" s="320" t="n"/>
      <c r="K62" s="320" t="n"/>
      <c r="L62" s="320" t="n"/>
      <c r="M62" s="320" t="n"/>
      <c r="N62" s="320" t="n"/>
      <c r="O62" s="320" t="n"/>
      <c r="P62" s="320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idden="1" s="317">
      <c r="A63" s="1" t="n"/>
      <c r="B63" s="3" t="inlineStr">
        <is>
          <t>1, 2, 3, 4 - Tomo I</t>
        </is>
      </c>
      <c r="C63" s="4" t="n">
        <v>1</v>
      </c>
      <c r="D63" s="5" t="n">
        <v>169</v>
      </c>
      <c r="E63" s="5">
        <f>D63*C63</f>
        <v/>
      </c>
      <c r="F63" s="5" t="n">
        <v>0</v>
      </c>
      <c r="G63" s="5">
        <f>F63+E63</f>
        <v/>
      </c>
      <c r="H63" s="6">
        <f>G63+F63</f>
        <v/>
      </c>
      <c r="I63" s="7" t="n">
        <v>44475</v>
      </c>
      <c r="J63" s="4" t="inlineStr">
        <is>
          <t>Pix</t>
        </is>
      </c>
      <c r="K63" s="4" t="inlineStr">
        <is>
          <t>Retirou</t>
        </is>
      </c>
      <c r="L63" s="7" t="n">
        <v>44475</v>
      </c>
      <c r="M63" s="3" t="inlineStr">
        <is>
          <t>Pablo Sauce</t>
        </is>
      </c>
      <c r="N63" s="3" t="inlineStr">
        <is>
          <t>71 9158-5360</t>
        </is>
      </c>
      <c r="O63" s="8" t="inlineStr">
        <is>
          <t xml:space="preserve">pablosauce@gmail.com </t>
        </is>
      </c>
      <c r="P63" s="3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3" t="inlineStr">
        <is>
          <t>O Ser e a Letra</t>
        </is>
      </c>
      <c r="C64" s="4" t="n">
        <v>1</v>
      </c>
      <c r="D64" s="5" t="n">
        <v>80</v>
      </c>
      <c r="E64" s="5">
        <f>D64*C64</f>
        <v/>
      </c>
      <c r="F64" s="5" t="n">
        <v>0</v>
      </c>
      <c r="G64" s="5">
        <f>F64+E64</f>
        <v/>
      </c>
      <c r="H64" s="6">
        <f>G64+G65</f>
        <v/>
      </c>
      <c r="I64" s="7" t="n">
        <v>44476</v>
      </c>
      <c r="J64" s="4" t="inlineStr">
        <is>
          <t>Pix</t>
        </is>
      </c>
      <c r="K64" s="4" t="inlineStr">
        <is>
          <t>Retirou</t>
        </is>
      </c>
      <c r="L64" s="7" t="n">
        <v>44476</v>
      </c>
      <c r="M64" s="18" t="n"/>
      <c r="N64" s="18" t="n"/>
      <c r="O64" s="323" t="n"/>
      <c r="P64" s="18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idden="1" s="317">
      <c r="A65" s="1" t="n"/>
      <c r="B65" s="3" t="inlineStr">
        <is>
          <t>Intervenção sobre o Nome-do-pai</t>
        </is>
      </c>
      <c r="C65" s="4" t="n">
        <v>1</v>
      </c>
      <c r="D65" s="5" t="n">
        <v>80</v>
      </c>
      <c r="E65" s="5">
        <f>D65*C65</f>
        <v/>
      </c>
      <c r="F65" s="5" t="n">
        <v>0</v>
      </c>
      <c r="G65" s="5">
        <f>F65+E65</f>
        <v/>
      </c>
      <c r="H65" s="320" t="n"/>
      <c r="I65" s="320" t="n"/>
      <c r="J65" s="320" t="n"/>
      <c r="K65" s="320" t="n"/>
      <c r="L65" s="320" t="n"/>
      <c r="M65" s="320" t="n"/>
      <c r="N65" s="320" t="n"/>
      <c r="O65" s="320" t="n"/>
      <c r="P65" s="320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idden="1" s="317">
      <c r="A66" s="1" t="n"/>
      <c r="B66" s="3" t="inlineStr">
        <is>
          <t>Ponto Final? (EBP Nacional Site)</t>
        </is>
      </c>
      <c r="C66" s="4" t="n">
        <v>1</v>
      </c>
      <c r="D66" s="5" t="n">
        <v>44.4</v>
      </c>
      <c r="E66" s="5">
        <f>D66*C66</f>
        <v/>
      </c>
      <c r="F66" s="5" t="n">
        <v>0</v>
      </c>
      <c r="G66" s="5">
        <f>F66+E66</f>
        <v/>
      </c>
      <c r="H66" s="6">
        <f>G66</f>
        <v/>
      </c>
      <c r="I66" s="7" t="n">
        <v>44482</v>
      </c>
      <c r="J66" s="4" t="inlineStr">
        <is>
          <t>Transferência</t>
        </is>
      </c>
      <c r="K66" s="4" t="inlineStr">
        <is>
          <t>Retirou</t>
        </is>
      </c>
      <c r="L66" s="7" t="n">
        <v>44482</v>
      </c>
      <c r="M66" s="3" t="inlineStr">
        <is>
          <t>Fatima Sarmento</t>
        </is>
      </c>
      <c r="N66" s="3" t="inlineStr">
        <is>
          <t>71 8136-9726</t>
        </is>
      </c>
      <c r="O66" s="8" t="inlineStr">
        <is>
          <t>fatima.asarmento@gmail.com</t>
        </is>
      </c>
      <c r="P66" s="3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idden="1" s="317">
      <c r="A67" s="1" t="n"/>
      <c r="B67" s="3" t="inlineStr">
        <is>
          <t>La diferencia de los sexos no existe</t>
        </is>
      </c>
      <c r="C67" s="4" t="n">
        <v>1</v>
      </c>
      <c r="D67" s="5" t="n">
        <v>85</v>
      </c>
      <c r="E67" s="5">
        <f>D67*C67</f>
        <v/>
      </c>
      <c r="F67" s="5" t="n">
        <v>10.3</v>
      </c>
      <c r="G67" s="5">
        <f>F67+E67</f>
        <v/>
      </c>
      <c r="H67" s="6">
        <f>G67</f>
        <v/>
      </c>
      <c r="I67" s="7" t="n">
        <v>44490</v>
      </c>
      <c r="J67" s="4" t="inlineStr">
        <is>
          <t>Pix</t>
        </is>
      </c>
      <c r="K67" s="26" t="inlineStr">
        <is>
          <t>JN621537405BR</t>
        </is>
      </c>
      <c r="L67" s="7" t="n">
        <v>44495</v>
      </c>
      <c r="M67" s="3" t="inlineStr">
        <is>
          <t>Camilla O Costa</t>
        </is>
      </c>
      <c r="N67" s="3" t="inlineStr">
        <is>
          <t>73 9123-4741</t>
        </is>
      </c>
      <c r="O67" s="8" t="inlineStr">
        <is>
          <t>camillaolvrcosta@gmail.com</t>
        </is>
      </c>
      <c r="P67" s="9" t="inlineStr">
        <is>
          <t>RUA 13 DE MAIO, 426. CENTRO. GUANAMBI-BAHIA
46430-000</t>
        </is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idden="1" s="317">
      <c r="A68" s="1" t="n"/>
      <c r="B68" s="3" t="inlineStr">
        <is>
          <t>Revista Agente Nº19</t>
        </is>
      </c>
      <c r="C68" s="4" t="n">
        <v>1</v>
      </c>
      <c r="D68" s="5" t="n">
        <v>50</v>
      </c>
      <c r="E68" s="5">
        <f>D68*C68</f>
        <v/>
      </c>
      <c r="F68" s="5" t="n">
        <v>10.3</v>
      </c>
      <c r="G68" s="5">
        <f>F68+E68</f>
        <v/>
      </c>
      <c r="H68" s="6">
        <f>G68</f>
        <v/>
      </c>
      <c r="I68" s="7" t="n">
        <v>44508</v>
      </c>
      <c r="J68" s="4" t="inlineStr">
        <is>
          <t>Pix</t>
        </is>
      </c>
      <c r="K68" s="4" t="inlineStr">
        <is>
          <t>JN621540427BR</t>
        </is>
      </c>
      <c r="L68" s="7" t="n">
        <v>44519</v>
      </c>
      <c r="M68" s="3" t="inlineStr">
        <is>
          <t>Camilla O Costa</t>
        </is>
      </c>
      <c r="N68" s="3" t="inlineStr">
        <is>
          <t>73 9123-4741</t>
        </is>
      </c>
      <c r="O68" s="8" t="inlineStr">
        <is>
          <t>camillaolvrcosta@gmail.com</t>
        </is>
      </c>
      <c r="P68" s="9" t="inlineStr">
        <is>
          <t>RUA 13 DE MAIO, 426. CENTRO. GUANAMBI-BAHIA
46430-000</t>
        </is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idden="1" s="317">
      <c r="A69" s="1" t="n"/>
      <c r="B69" s="3" t="inlineStr">
        <is>
          <t>Revista Agente Nº19</t>
        </is>
      </c>
      <c r="C69" s="4" t="n">
        <v>1</v>
      </c>
      <c r="D69" s="5" t="n">
        <v>50</v>
      </c>
      <c r="E69" s="5">
        <f>D69*C69</f>
        <v/>
      </c>
      <c r="F69" s="5" t="n">
        <v>10.3</v>
      </c>
      <c r="G69" s="5">
        <f>F69+E69</f>
        <v/>
      </c>
      <c r="H69" s="6">
        <f>G69</f>
        <v/>
      </c>
      <c r="I69" s="7" t="n">
        <v>44508</v>
      </c>
      <c r="J69" s="4" t="inlineStr">
        <is>
          <t>Pix</t>
        </is>
      </c>
      <c r="K69" s="7" t="inlineStr">
        <is>
          <t>JN621540413BR</t>
        </is>
      </c>
      <c r="L69" s="7" t="n">
        <v>44519</v>
      </c>
      <c r="M69" s="3" t="inlineStr">
        <is>
          <t xml:space="preserve">Fátima Cristina de Argollo Bastos Lordêlo </t>
        </is>
      </c>
      <c r="N69" s="3" t="inlineStr">
        <is>
          <t>71 9328-0075</t>
        </is>
      </c>
      <c r="O69" s="3" t="n"/>
      <c r="P69" s="9" t="inlineStr">
        <is>
          <t>Av Dom João VI, 800 - Torre A/1703
Acupe, Condomínio Pátio Jardins
40285-000</t>
        </is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idden="1" s="317">
      <c r="A70" s="1" t="n"/>
      <c r="B70" s="3" t="inlineStr">
        <is>
          <t>Revista Agente Nº19</t>
        </is>
      </c>
      <c r="C70" s="4" t="n">
        <v>1</v>
      </c>
      <c r="D70" s="5" t="n">
        <v>50</v>
      </c>
      <c r="E70" s="5">
        <f>D70*C70</f>
        <v/>
      </c>
      <c r="F70" s="5" t="n">
        <v>0</v>
      </c>
      <c r="G70" s="5">
        <f>F70+E70</f>
        <v/>
      </c>
      <c r="H70" s="6">
        <f>G70</f>
        <v/>
      </c>
      <c r="I70" s="7" t="n">
        <v>44508</v>
      </c>
      <c r="J70" s="4" t="inlineStr">
        <is>
          <t>Pix</t>
        </is>
      </c>
      <c r="K70" s="4" t="inlineStr">
        <is>
          <t>Retirou</t>
        </is>
      </c>
      <c r="L70" s="7" t="n">
        <v>44519</v>
      </c>
      <c r="M70" s="3" t="inlineStr">
        <is>
          <t>Graziela Pires</t>
        </is>
      </c>
      <c r="N70" s="3" t="inlineStr">
        <is>
          <t>71 9188-8828</t>
        </is>
      </c>
      <c r="O70" s="3" t="n"/>
      <c r="P70" s="3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idden="1" s="317">
      <c r="A71" s="1" t="n"/>
      <c r="B71" s="3" t="inlineStr">
        <is>
          <t>Coordenadas para La Psicosis Diaria</t>
        </is>
      </c>
      <c r="C71" s="4" t="n">
        <v>1</v>
      </c>
      <c r="D71" s="5" t="n">
        <v>125</v>
      </c>
      <c r="E71" s="5">
        <f>D71*C71</f>
        <v/>
      </c>
      <c r="F71" s="5" t="n">
        <v>0</v>
      </c>
      <c r="G71" s="5">
        <f>F71+E71</f>
        <v/>
      </c>
      <c r="H71" s="6">
        <f>G71</f>
        <v/>
      </c>
      <c r="I71" s="7" t="n">
        <v>44508</v>
      </c>
      <c r="J71" s="4" t="inlineStr">
        <is>
          <t>Pix</t>
        </is>
      </c>
      <c r="K71" s="4" t="inlineStr">
        <is>
          <t>Retirou</t>
        </is>
      </c>
      <c r="L71" s="7" t="n">
        <v>44509</v>
      </c>
      <c r="M71" s="3" t="inlineStr">
        <is>
          <t>Marcelo Magnelli</t>
        </is>
      </c>
      <c r="N71" s="3" t="inlineStr">
        <is>
          <t>71 9612-4125</t>
        </is>
      </c>
      <c r="O71" s="8" t="inlineStr">
        <is>
          <t>marcelo.magnelli@gmail.com</t>
        </is>
      </c>
      <c r="P71" s="3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idden="1" s="317">
      <c r="A72" s="1" t="n"/>
      <c r="B72" s="3" t="inlineStr">
        <is>
          <t>Ruídos e o Silêncio da Vida Confinada</t>
        </is>
      </c>
      <c r="C72" s="4" t="n">
        <v>1</v>
      </c>
      <c r="D72" s="5" t="n">
        <v>65</v>
      </c>
      <c r="E72" s="5">
        <f>D72*C72</f>
        <v/>
      </c>
      <c r="F72" s="5" t="n">
        <v>0</v>
      </c>
      <c r="G72" s="5">
        <f>F72+E72</f>
        <v/>
      </c>
      <c r="H72" s="6">
        <f>G72</f>
        <v/>
      </c>
      <c r="I72" s="7" t="n">
        <v>44510</v>
      </c>
      <c r="J72" s="4" t="inlineStr">
        <is>
          <t>Pix</t>
        </is>
      </c>
      <c r="K72" s="4" t="inlineStr">
        <is>
          <t>Retirou</t>
        </is>
      </c>
      <c r="L72" s="7" t="n">
        <v>44524</v>
      </c>
      <c r="M72" s="3" t="inlineStr">
        <is>
          <t>Rogerio Barros</t>
        </is>
      </c>
      <c r="N72" s="3" t="inlineStr">
        <is>
          <t>71 9969-5141</t>
        </is>
      </c>
      <c r="O72" s="8" t="inlineStr">
        <is>
          <t>contaterogerio@gmail.com</t>
        </is>
      </c>
      <c r="P72" s="3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idden="1" s="317">
      <c r="A73" s="1" t="n"/>
      <c r="B73" s="3" t="inlineStr">
        <is>
          <t>Revista Agente Nº19</t>
        </is>
      </c>
      <c r="C73" s="4" t="n">
        <v>1</v>
      </c>
      <c r="D73" s="5" t="n">
        <v>50</v>
      </c>
      <c r="E73" s="5">
        <f>D73*C73</f>
        <v/>
      </c>
      <c r="F73" s="5" t="n">
        <v>0</v>
      </c>
      <c r="G73" s="5">
        <f>F73+E73</f>
        <v/>
      </c>
      <c r="H73" s="6">
        <f>G73</f>
        <v/>
      </c>
      <c r="I73" s="7" t="n">
        <v>44510</v>
      </c>
      <c r="J73" s="4" t="inlineStr">
        <is>
          <t>Dinheiro</t>
        </is>
      </c>
      <c r="K73" s="4" t="inlineStr">
        <is>
          <t>Retirou</t>
        </is>
      </c>
      <c r="L73" s="7" t="n">
        <v>44524</v>
      </c>
      <c r="M73" s="3" t="inlineStr">
        <is>
          <t>Marcelo Magnelli</t>
        </is>
      </c>
      <c r="N73" s="3" t="inlineStr">
        <is>
          <t>71 9612-4125</t>
        </is>
      </c>
      <c r="O73" s="8" t="inlineStr">
        <is>
          <t>marcelo.magnelli@gmail.com</t>
        </is>
      </c>
      <c r="P73" s="3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33.75" customHeight="1" s="317">
      <c r="A74" s="1" t="n"/>
      <c r="B74" s="3" t="inlineStr">
        <is>
          <t>Revista Agente Nº19</t>
        </is>
      </c>
      <c r="C74" s="4" t="n">
        <v>10</v>
      </c>
      <c r="D74" s="5" t="n">
        <v>50</v>
      </c>
      <c r="E74" s="5">
        <f>D74*C74</f>
        <v/>
      </c>
      <c r="F74" s="5" t="n">
        <v>0</v>
      </c>
      <c r="G74" s="5">
        <f>F74+E74</f>
        <v/>
      </c>
      <c r="H74" s="6">
        <f>G74+G75</f>
        <v/>
      </c>
      <c r="I74" s="7" t="n">
        <v>44516</v>
      </c>
      <c r="J74" s="4" t="inlineStr">
        <is>
          <t>Pix</t>
        </is>
      </c>
      <c r="K74" s="4" t="inlineStr">
        <is>
          <t>PE008220299BR</t>
        </is>
      </c>
      <c r="L74" s="7" t="n">
        <v>44519</v>
      </c>
      <c r="M74" s="18" t="inlineStr">
        <is>
          <t>Beatriz de Souza Silva</t>
        </is>
      </c>
      <c r="N74" s="4" t="inlineStr">
        <is>
          <t>77 8102-5030</t>
        </is>
      </c>
      <c r="O74" s="4" t="n"/>
      <c r="P74" s="22" t="inlineStr">
        <is>
          <t>Avenida Castelo Branco, 163, bairro Aeroporto Velho, 2 andar, sala 205. Guanambi, Bahia. CEP 46430-000.</t>
        </is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s="317">
      <c r="A75" s="1" t="n"/>
      <c r="B75" s="3" t="inlineStr">
        <is>
          <t>Revista Agente Nº18</t>
        </is>
      </c>
      <c r="C75" s="4" t="n">
        <v>5</v>
      </c>
      <c r="D75" s="5" t="n">
        <v>45</v>
      </c>
      <c r="E75" s="5">
        <f>D75*C75</f>
        <v/>
      </c>
      <c r="F75" s="5" t="n">
        <v>0</v>
      </c>
      <c r="G75" s="5">
        <f>F75+E75</f>
        <v/>
      </c>
      <c r="H75" s="320" t="n"/>
      <c r="I75" s="320" t="n"/>
      <c r="J75" s="320" t="n"/>
      <c r="K75" s="320" t="n"/>
      <c r="L75" s="320" t="n"/>
      <c r="M75" s="320" t="n"/>
      <c r="N75" s="320" t="n"/>
      <c r="O75" s="320" t="n"/>
      <c r="P75" s="320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s="317">
      <c r="A76" s="1" t="n"/>
      <c r="B76" s="3" t="inlineStr">
        <is>
          <t>Revista Agente Nº19</t>
        </is>
      </c>
      <c r="C76" s="4" t="n">
        <v>1</v>
      </c>
      <c r="D76" s="5" t="n">
        <v>50</v>
      </c>
      <c r="E76" s="5">
        <f>D76*C76</f>
        <v/>
      </c>
      <c r="F76" s="5" t="n">
        <v>0</v>
      </c>
      <c r="G76" s="5">
        <f>F76+E76</f>
        <v/>
      </c>
      <c r="H76" s="6">
        <f>G76</f>
        <v/>
      </c>
      <c r="I76" s="7" t="n">
        <v>44517</v>
      </c>
      <c r="J76" s="4" t="inlineStr">
        <is>
          <t>Pix</t>
        </is>
      </c>
      <c r="K76" s="4" t="inlineStr">
        <is>
          <t>JN621540387BR</t>
        </is>
      </c>
      <c r="L76" s="7" t="n">
        <v>44519</v>
      </c>
      <c r="M76" s="9" t="inlineStr">
        <is>
          <t>(Adrienne Botelho) Ana Paula Gonsalves</t>
        </is>
      </c>
      <c r="N76" s="3" t="inlineStr">
        <is>
          <t>73 9974-1394</t>
        </is>
      </c>
      <c r="O76" s="3" t="n"/>
      <c r="P76" s="9" t="inlineStr">
        <is>
          <t>Rua Dr. Osvaldo Cohin, 116, Sala 407, Edf Empresarial Center, Bairro: Recanto do Lago, Teixeira de Freitas/BA, CEP: 45987-100</t>
        </is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s="317">
      <c r="A77" s="1" t="n"/>
      <c r="B77" s="3" t="inlineStr">
        <is>
          <t>Revista Agente Nº19</t>
        </is>
      </c>
      <c r="C77" s="4" t="n">
        <v>1</v>
      </c>
      <c r="D77" s="5" t="n">
        <v>50</v>
      </c>
      <c r="E77" s="5">
        <f>D77*C77</f>
        <v/>
      </c>
      <c r="F77" s="5" t="n">
        <v>0</v>
      </c>
      <c r="G77" s="5">
        <f>F77+E77</f>
        <v/>
      </c>
      <c r="H77" s="6">
        <f>G77</f>
        <v/>
      </c>
      <c r="I77" s="7" t="n">
        <v>44517</v>
      </c>
      <c r="J77" s="4" t="inlineStr">
        <is>
          <t>Pix</t>
        </is>
      </c>
      <c r="K77" s="4" t="inlineStr">
        <is>
          <t>JN621540387BR</t>
        </is>
      </c>
      <c r="L77" s="7" t="n">
        <v>44519</v>
      </c>
      <c r="M77" s="9" t="inlineStr">
        <is>
          <t>(Adrienne Botelho) Cintia Stauffer</t>
        </is>
      </c>
      <c r="N77" s="3" t="inlineStr">
        <is>
          <t>73 9974-1394</t>
        </is>
      </c>
      <c r="O77" s="3" t="n"/>
      <c r="P77" s="9" t="inlineStr">
        <is>
          <t>Rua Dr. Osvaldo Cohin, 116, Sala 407, Edf Empresarial Center, Bairro: Recanto do Lago, Teixeira de Freitas/BA, CEP: 45987-100</t>
        </is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idden="1" s="317">
      <c r="A78" s="1" t="n"/>
      <c r="B78" s="3" t="inlineStr">
        <is>
          <t>Revista Agente Nº19</t>
        </is>
      </c>
      <c r="C78" s="4" t="n">
        <v>1</v>
      </c>
      <c r="D78" s="5" t="n">
        <v>50</v>
      </c>
      <c r="E78" s="5">
        <f>D78*C78</f>
        <v/>
      </c>
      <c r="F78" s="5" t="n">
        <v>0</v>
      </c>
      <c r="G78" s="5">
        <f>F78+E78</f>
        <v/>
      </c>
      <c r="H78" s="6">
        <f>G78</f>
        <v/>
      </c>
      <c r="I78" s="7" t="n">
        <v>44517</v>
      </c>
      <c r="J78" s="4" t="inlineStr">
        <is>
          <t>Pix</t>
        </is>
      </c>
      <c r="K78" s="4" t="inlineStr">
        <is>
          <t>JN621540387BR</t>
        </is>
      </c>
      <c r="L78" s="7" t="n">
        <v>44519</v>
      </c>
      <c r="M78" s="9" t="inlineStr">
        <is>
          <t>(Adrienne Botelho) Etelvina Viana</t>
        </is>
      </c>
      <c r="N78" s="3" t="inlineStr">
        <is>
          <t>73 9974-1394</t>
        </is>
      </c>
      <c r="O78" s="3" t="n"/>
      <c r="P78" s="9" t="inlineStr">
        <is>
          <t>Rua Dr. Osvaldo Cohin, 116, Sala 407, Edf Empresarial Center, Bairro: Recanto do Lago, Teixeira de Freitas/BA, CEP: 45987-100</t>
        </is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idden="1" s="317">
      <c r="A79" s="1" t="n"/>
      <c r="B79" s="3" t="inlineStr">
        <is>
          <t>Ruídos e o Silêncio da Vida Confinada</t>
        </is>
      </c>
      <c r="C79" s="4" t="n">
        <v>1</v>
      </c>
      <c r="D79" s="5" t="n">
        <v>65</v>
      </c>
      <c r="E79" s="5">
        <f>D79*C79</f>
        <v/>
      </c>
      <c r="F79" s="5" t="n">
        <v>15.25</v>
      </c>
      <c r="G79" s="5">
        <f>F79+E79</f>
        <v/>
      </c>
      <c r="H79" s="6">
        <f>G79+G80</f>
        <v/>
      </c>
      <c r="I79" s="7" t="n">
        <v>44517</v>
      </c>
      <c r="J79" s="4" t="inlineStr">
        <is>
          <t>Pix</t>
        </is>
      </c>
      <c r="K79" s="4" t="inlineStr">
        <is>
          <t>JN621540395BR</t>
        </is>
      </c>
      <c r="L79" s="7" t="n">
        <v>44519</v>
      </c>
      <c r="M79" s="18" t="inlineStr">
        <is>
          <t>Emerson Nogueira Tolentino</t>
        </is>
      </c>
      <c r="N79" s="4" t="inlineStr">
        <is>
          <t>77 9965-7723</t>
        </is>
      </c>
      <c r="O79" s="325" t="inlineStr">
        <is>
          <t>emersontolentinoarthus@gmail.com</t>
        </is>
      </c>
      <c r="P79" s="22" t="inlineStr">
        <is>
          <t>Rua Vicente de Paula 558 Paraíso Guanambi Bahia
CEP 46430-000</t>
        </is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idden="1" s="317">
      <c r="A80" s="1" t="n"/>
      <c r="B80" s="3" t="inlineStr">
        <is>
          <t>Revista Agente Nº19</t>
        </is>
      </c>
      <c r="C80" s="4" t="n">
        <v>1</v>
      </c>
      <c r="D80" s="5" t="n">
        <v>50</v>
      </c>
      <c r="E80" s="5">
        <f>D80*C80</f>
        <v/>
      </c>
      <c r="F80" s="5" t="n">
        <v>0</v>
      </c>
      <c r="G80" s="5">
        <f>F80+E80</f>
        <v/>
      </c>
      <c r="H80" s="320" t="n"/>
      <c r="I80" s="320" t="n"/>
      <c r="J80" s="320" t="n"/>
      <c r="K80" s="320" t="n"/>
      <c r="L80" s="320" t="n"/>
      <c r="M80" s="320" t="n"/>
      <c r="N80" s="320" t="n"/>
      <c r="O80" s="320" t="n"/>
      <c r="P80" s="320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idden="1" s="317">
      <c r="A81" s="1" t="n"/>
      <c r="B81" s="3" t="inlineStr">
        <is>
          <t>Revista Agente Nº19</t>
        </is>
      </c>
      <c r="C81" s="4" t="n">
        <v>1</v>
      </c>
      <c r="D81" s="5" t="n">
        <v>50</v>
      </c>
      <c r="E81" s="5">
        <f>D81*C81</f>
        <v/>
      </c>
      <c r="F81" s="5" t="n">
        <v>0</v>
      </c>
      <c r="G81" s="5">
        <f>F81+E81</f>
        <v/>
      </c>
      <c r="H81" s="6">
        <f>G81</f>
        <v/>
      </c>
      <c r="I81" s="7" t="n">
        <v>44517</v>
      </c>
      <c r="J81" s="4" t="inlineStr">
        <is>
          <t>Pix</t>
        </is>
      </c>
      <c r="K81" s="4" t="inlineStr">
        <is>
          <t>JN621540387BR</t>
        </is>
      </c>
      <c r="L81" s="7" t="n">
        <v>44519</v>
      </c>
      <c r="M81" s="9" t="inlineStr">
        <is>
          <t>(Adrienne Botelho) Marcela Ramos Pereira</t>
        </is>
      </c>
      <c r="N81" s="3" t="inlineStr">
        <is>
          <t>73 9974-1394</t>
        </is>
      </c>
      <c r="O81" s="3" t="n"/>
      <c r="P81" s="9" t="inlineStr">
        <is>
          <t>Rua Dr. Osvaldo Cohin, 116, Sala 407, Edf Empresarial Center, Bairro: Recanto do Lago, Teixeira de Freitas/BA, CEP: 45987-100</t>
        </is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idden="1" s="317">
      <c r="A82" s="1" t="n"/>
      <c r="B82" s="3" t="inlineStr">
        <is>
          <t>Revista Agente Nº19</t>
        </is>
      </c>
      <c r="C82" s="4" t="n">
        <v>1</v>
      </c>
      <c r="D82" s="5" t="n">
        <v>50</v>
      </c>
      <c r="E82" s="5">
        <f>D82*C82</f>
        <v/>
      </c>
      <c r="F82" s="5" t="n">
        <v>0</v>
      </c>
      <c r="G82" s="5">
        <f>F82+E82</f>
        <v/>
      </c>
      <c r="H82" s="6">
        <f>G82</f>
        <v/>
      </c>
      <c r="I82" s="7" t="n">
        <v>44517</v>
      </c>
      <c r="J82" s="4" t="inlineStr">
        <is>
          <t>Pix</t>
        </is>
      </c>
      <c r="K82" s="4" t="inlineStr">
        <is>
          <t>Retirou</t>
        </is>
      </c>
      <c r="L82" s="7" t="n">
        <v>44517</v>
      </c>
      <c r="M82" s="3" t="inlineStr">
        <is>
          <t>Monica Hage</t>
        </is>
      </c>
      <c r="N82" s="3" t="inlineStr">
        <is>
          <t>71 8855-0493</t>
        </is>
      </c>
      <c r="O82" s="8" t="inlineStr">
        <is>
          <t>monicahage@uol.com.br</t>
        </is>
      </c>
      <c r="P82" s="3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idden="1" s="317">
      <c r="A83" s="1" t="n"/>
      <c r="B83" s="3" t="inlineStr">
        <is>
          <t>Ruídos e o Silêncio da Vida Confinada</t>
        </is>
      </c>
      <c r="C83" s="4" t="n">
        <v>1</v>
      </c>
      <c r="D83" s="5" t="n">
        <v>65</v>
      </c>
      <c r="E83" s="5">
        <f>D83*C83</f>
        <v/>
      </c>
      <c r="F83" s="5" t="n">
        <v>10.3</v>
      </c>
      <c r="G83" s="5">
        <f>F83+E83</f>
        <v/>
      </c>
      <c r="H83" s="6">
        <f>G83</f>
        <v/>
      </c>
      <c r="I83" s="7" t="n">
        <v>44517</v>
      </c>
      <c r="J83" s="4" t="inlineStr">
        <is>
          <t>Pix</t>
        </is>
      </c>
      <c r="K83" s="4" t="inlineStr">
        <is>
          <t>JN621540400BR</t>
        </is>
      </c>
      <c r="L83" s="7" t="n">
        <v>44519</v>
      </c>
      <c r="M83" s="3" t="inlineStr">
        <is>
          <t xml:space="preserve">Rui Carlos Gomes Vieira de Melo </t>
        </is>
      </c>
      <c r="N83" s="3" t="inlineStr">
        <is>
          <t>31 8298-1658</t>
        </is>
      </c>
      <c r="O83" s="8" t="inlineStr">
        <is>
          <t>ruimelo1507@gmail.com</t>
        </is>
      </c>
      <c r="P83" s="9" t="inlineStr">
        <is>
          <t>Av Brasil 1653 apto 501 BAIRRO Funcionários 
CEP 30.140-002</t>
        </is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idden="1" s="317">
      <c r="A84" s="1" t="n"/>
      <c r="B84" s="3" t="inlineStr">
        <is>
          <t>Ruídos e o Silêncio da Vida Confinada</t>
        </is>
      </c>
      <c r="C84" s="4" t="n">
        <v>1</v>
      </c>
      <c r="D84" s="5" t="n">
        <v>65</v>
      </c>
      <c r="E84" s="5">
        <f>D84*C84</f>
        <v/>
      </c>
      <c r="F84" s="5" t="n">
        <v>10.3</v>
      </c>
      <c r="G84" s="5">
        <f>F84+E84</f>
        <v/>
      </c>
      <c r="H84" s="6">
        <f>G84</f>
        <v/>
      </c>
      <c r="I84" s="7" t="n">
        <v>44517</v>
      </c>
      <c r="J84" s="4" t="inlineStr">
        <is>
          <t>Pix</t>
        </is>
      </c>
      <c r="K84" s="4" t="inlineStr">
        <is>
          <t>JN621540435BR</t>
        </is>
      </c>
      <c r="L84" s="7" t="n">
        <v>44519</v>
      </c>
      <c r="M84" s="3" t="inlineStr">
        <is>
          <t>Shirley Andrade de Lira</t>
        </is>
      </c>
      <c r="N84" s="3" t="inlineStr">
        <is>
          <t>83 8680-2685</t>
        </is>
      </c>
      <c r="O84" s="8" t="inlineStr">
        <is>
          <t>andradedelira@gmail.com</t>
        </is>
      </c>
      <c r="P84" s="9" t="inlineStr">
        <is>
          <t>Rua Huerta Ferreira de Melo número 300 apart 702
Bairro Jardim Oceania 
João Pessoa CEP 58037-245</t>
        </is>
      </c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idden="1" s="317">
      <c r="A85" s="1" t="n"/>
      <c r="B85" s="3" t="inlineStr">
        <is>
          <t>Revista Agente Nº19</t>
        </is>
      </c>
      <c r="C85" s="4" t="n">
        <v>1</v>
      </c>
      <c r="D85" s="5" t="n">
        <v>50</v>
      </c>
      <c r="E85" s="5">
        <f>D85*C85</f>
        <v/>
      </c>
      <c r="F85" s="5" t="n">
        <v>0</v>
      </c>
      <c r="G85" s="5">
        <f>F85+E85</f>
        <v/>
      </c>
      <c r="H85" s="6">
        <f>G85</f>
        <v/>
      </c>
      <c r="I85" s="7" t="n">
        <v>44518</v>
      </c>
      <c r="J85" s="4" t="inlineStr">
        <is>
          <t>Pix</t>
        </is>
      </c>
      <c r="K85" s="4" t="inlineStr">
        <is>
          <t>Consignação Magnelli</t>
        </is>
      </c>
      <c r="L85" s="7" t="n">
        <v>44517</v>
      </c>
      <c r="M85" s="3" t="inlineStr">
        <is>
          <t>Andre Doria</t>
        </is>
      </c>
      <c r="N85" s="3" t="n"/>
      <c r="O85" s="8" t="n"/>
      <c r="P85" s="3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idden="1" s="317">
      <c r="A86" s="1" t="n"/>
      <c r="B86" s="3" t="inlineStr">
        <is>
          <t>Revista Agente Nº19</t>
        </is>
      </c>
      <c r="C86" s="4" t="n">
        <v>1</v>
      </c>
      <c r="D86" s="5" t="n">
        <v>50</v>
      </c>
      <c r="E86" s="5">
        <f>D86*C86</f>
        <v/>
      </c>
      <c r="F86" s="5" t="n">
        <v>0</v>
      </c>
      <c r="G86" s="5">
        <f>F86+E86</f>
        <v/>
      </c>
      <c r="H86" s="6">
        <f>G86</f>
        <v/>
      </c>
      <c r="I86" s="7" t="n">
        <v>44518</v>
      </c>
      <c r="J86" s="4" t="inlineStr">
        <is>
          <t>Pix</t>
        </is>
      </c>
      <c r="K86" s="4" t="inlineStr">
        <is>
          <t>Consignação Magnelli</t>
        </is>
      </c>
      <c r="L86" s="7" t="n">
        <v>44517</v>
      </c>
      <c r="M86" s="3" t="inlineStr">
        <is>
          <t>Barbara Cristina Barbosa dos Santos</t>
        </is>
      </c>
      <c r="N86" s="3" t="n"/>
      <c r="O86" s="8" t="n"/>
      <c r="P86" s="3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idden="1" s="317">
      <c r="A87" s="1" t="n"/>
      <c r="B87" s="3" t="inlineStr">
        <is>
          <t>Revista Agente Nº19</t>
        </is>
      </c>
      <c r="C87" s="4" t="n">
        <v>1</v>
      </c>
      <c r="D87" s="5" t="n">
        <v>50</v>
      </c>
      <c r="E87" s="5">
        <f>D87*C87</f>
        <v/>
      </c>
      <c r="F87" s="5" t="n">
        <v>0</v>
      </c>
      <c r="G87" s="5">
        <f>F87+E87</f>
        <v/>
      </c>
      <c r="H87" s="6">
        <f>G87</f>
        <v/>
      </c>
      <c r="I87" s="7" t="n">
        <v>44518</v>
      </c>
      <c r="J87" s="4" t="inlineStr">
        <is>
          <t>Pix</t>
        </is>
      </c>
      <c r="K87" s="4" t="inlineStr">
        <is>
          <t>Consignação Magnelli</t>
        </is>
      </c>
      <c r="L87" s="7" t="n">
        <v>44517</v>
      </c>
      <c r="M87" s="3" t="inlineStr">
        <is>
          <t>Caroline Barboza Farias Severo</t>
        </is>
      </c>
      <c r="N87" s="3" t="n"/>
      <c r="O87" s="8" t="n"/>
      <c r="P87" s="3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idden="1" s="317">
      <c r="A88" s="1" t="n"/>
      <c r="B88" s="3" t="inlineStr">
        <is>
          <t>1, 2, 3, 4 - Tomo I</t>
        </is>
      </c>
      <c r="C88" s="4" t="n">
        <v>1</v>
      </c>
      <c r="D88" s="5" t="n">
        <v>169</v>
      </c>
      <c r="E88" s="5">
        <f>D88*C88</f>
        <v/>
      </c>
      <c r="F88" s="5" t="n">
        <v>20.1</v>
      </c>
      <c r="G88" s="5">
        <f>F88+E88</f>
        <v/>
      </c>
      <c r="H88" s="6">
        <f>G88+G89+G90</f>
        <v/>
      </c>
      <c r="I88" s="7" t="n">
        <v>44518</v>
      </c>
      <c r="J88" s="4" t="inlineStr">
        <is>
          <t>Pix</t>
        </is>
      </c>
      <c r="K88" s="4" t="inlineStr">
        <is>
          <t>JN621540444BR</t>
        </is>
      </c>
      <c r="L88" s="7" t="n">
        <v>44519</v>
      </c>
      <c r="M88" s="18" t="inlineStr">
        <is>
          <t>Susane Vasconcelos Zanotti</t>
        </is>
      </c>
      <c r="N88" s="4" t="inlineStr">
        <is>
          <t>(82)982051355</t>
        </is>
      </c>
      <c r="O88" s="326" t="inlineStr">
        <is>
          <t>susanevz@gmail.com</t>
        </is>
      </c>
      <c r="P88" s="325" t="inlineStr">
        <is>
          <t>Endereço: Av dr Mário Nunes vieira, 297. Apto 801. Ed atmosphera. Jatiuca. Maceió- AL. CEP: 57035-553.</t>
        </is>
      </c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idden="1" s="317">
      <c r="A89" s="1" t="n"/>
      <c r="B89" s="3" t="inlineStr">
        <is>
          <t>Revista Agente Nº19</t>
        </is>
      </c>
      <c r="C89" s="4" t="n">
        <v>1</v>
      </c>
      <c r="D89" s="5" t="n">
        <v>50</v>
      </c>
      <c r="E89" s="5">
        <f>D89*C89</f>
        <v/>
      </c>
      <c r="F89" s="5" t="n">
        <v>0</v>
      </c>
      <c r="G89" s="5">
        <f>F89+E89</f>
        <v/>
      </c>
      <c r="H89" s="321" t="n"/>
      <c r="I89" s="321" t="n"/>
      <c r="J89" s="321" t="n"/>
      <c r="K89" s="321" t="n"/>
      <c r="L89" s="321" t="n"/>
      <c r="M89" s="321" t="n"/>
      <c r="N89" s="321" t="n"/>
      <c r="O89" s="321" t="n"/>
      <c r="P89" s="32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idden="1" s="317">
      <c r="A90" s="1" t="n"/>
      <c r="B90" s="3" t="inlineStr">
        <is>
          <t>Ruídos e o Silêncio da Vida Confinada</t>
        </is>
      </c>
      <c r="C90" s="4" t="n">
        <v>1</v>
      </c>
      <c r="D90" s="5" t="n">
        <v>65</v>
      </c>
      <c r="E90" s="5">
        <f>D90*C90</f>
        <v/>
      </c>
      <c r="F90" s="5" t="n">
        <v>0</v>
      </c>
      <c r="G90" s="5">
        <f>F90+E90</f>
        <v/>
      </c>
      <c r="H90" s="320" t="n"/>
      <c r="I90" s="320" t="n"/>
      <c r="J90" s="320" t="n"/>
      <c r="K90" s="320" t="n"/>
      <c r="L90" s="320" t="n"/>
      <c r="M90" s="320" t="n"/>
      <c r="N90" s="320" t="n"/>
      <c r="O90" s="320" t="n"/>
      <c r="P90" s="320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s="317">
      <c r="A91" s="1" t="n"/>
      <c r="B91" s="3" t="inlineStr">
        <is>
          <t>Revista Agente Nº19</t>
        </is>
      </c>
      <c r="C91" s="4" t="n">
        <v>1</v>
      </c>
      <c r="D91" s="5" t="n">
        <v>50</v>
      </c>
      <c r="E91" s="5">
        <f>D91*C91</f>
        <v/>
      </c>
      <c r="F91" s="5" t="n">
        <v>0</v>
      </c>
      <c r="G91" s="5">
        <f>F91+E91</f>
        <v/>
      </c>
      <c r="H91" s="6">
        <f>G91</f>
        <v/>
      </c>
      <c r="I91" s="7" t="n">
        <v>44519</v>
      </c>
      <c r="J91" s="4" t="inlineStr">
        <is>
          <t>Pix</t>
        </is>
      </c>
      <c r="K91" s="4" t="inlineStr">
        <is>
          <t>Consignação Magnelli</t>
        </is>
      </c>
      <c r="L91" s="7" t="n">
        <v>44517</v>
      </c>
      <c r="M91" s="3" t="inlineStr">
        <is>
          <t>Daniela Nunes Araujo</t>
        </is>
      </c>
      <c r="N91" s="3" t="n"/>
      <c r="O91" s="8" t="n"/>
      <c r="P91" s="3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33.75" customHeight="1" s="317">
      <c r="A92" s="1" t="n"/>
      <c r="B92" s="3" t="inlineStr">
        <is>
          <t>Objeto, Gozo e Corpo</t>
        </is>
      </c>
      <c r="C92" s="4" t="n">
        <v>1</v>
      </c>
      <c r="D92" s="5" t="n">
        <v>50</v>
      </c>
      <c r="E92" s="5">
        <f>D92*C92</f>
        <v/>
      </c>
      <c r="F92" s="5" t="n">
        <v>22.06</v>
      </c>
      <c r="G92" s="5">
        <f>F92+E92</f>
        <v/>
      </c>
      <c r="H92" s="6">
        <f>G92+G93</f>
        <v/>
      </c>
      <c r="I92" s="7" t="n">
        <v>44519</v>
      </c>
      <c r="J92" s="4" t="inlineStr">
        <is>
          <t>Pix</t>
        </is>
      </c>
      <c r="K92" s="4" t="inlineStr">
        <is>
          <t>JN621540387BR</t>
        </is>
      </c>
      <c r="L92" s="7" t="n">
        <v>44519</v>
      </c>
      <c r="M92" s="22" t="inlineStr">
        <is>
          <t>Adrienne Botelho</t>
        </is>
      </c>
      <c r="N92" s="18" t="inlineStr">
        <is>
          <t>73 9974-1394</t>
        </is>
      </c>
      <c r="O92" s="4" t="n"/>
      <c r="P92" s="22" t="inlineStr">
        <is>
          <t>Rua Dr. Osvaldo Cohin, 116, Sala 407, Edf Empresarial Center, Bairro: Recanto do Lago, Teixeira de Freitas/BA, CEP: 45987-100</t>
        </is>
      </c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33.75" customHeight="1" s="317">
      <c r="A93" s="1" t="n"/>
      <c r="B93" s="3" t="inlineStr">
        <is>
          <t>Revista Agente Nº19</t>
        </is>
      </c>
      <c r="C93" s="4" t="n">
        <v>1</v>
      </c>
      <c r="D93" s="5" t="n">
        <v>50</v>
      </c>
      <c r="E93" s="5">
        <f>D93*C93</f>
        <v/>
      </c>
      <c r="F93" s="5" t="n">
        <v>0</v>
      </c>
      <c r="G93" s="5">
        <f>F93+E93</f>
        <v/>
      </c>
      <c r="H93" s="320" t="n"/>
      <c r="I93" s="320" t="n"/>
      <c r="J93" s="320" t="n"/>
      <c r="K93" s="320" t="n"/>
      <c r="L93" s="320" t="n"/>
      <c r="M93" s="320" t="n"/>
      <c r="N93" s="320" t="n"/>
      <c r="O93" s="320" t="n"/>
      <c r="P93" s="320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s="317">
      <c r="A94" s="1" t="n"/>
      <c r="B94" s="3" t="inlineStr">
        <is>
          <t>Ruídos e o Silêncio da Vida Confinada</t>
        </is>
      </c>
      <c r="C94" s="4" t="n">
        <v>1</v>
      </c>
      <c r="D94" s="5" t="n">
        <v>65</v>
      </c>
      <c r="E94" s="5">
        <f>D94*C94</f>
        <v/>
      </c>
      <c r="F94" s="5" t="n">
        <v>0</v>
      </c>
      <c r="G94" s="5">
        <f>F94+E94</f>
        <v/>
      </c>
      <c r="H94" s="6">
        <f>G94+G95</f>
        <v/>
      </c>
      <c r="I94" s="7" t="n">
        <v>44519</v>
      </c>
      <c r="J94" s="4" t="inlineStr">
        <is>
          <t>Pix</t>
        </is>
      </c>
      <c r="K94" s="4" t="inlineStr">
        <is>
          <t>Retirou</t>
        </is>
      </c>
      <c r="L94" s="7" t="n">
        <v>44519</v>
      </c>
      <c r="M94" s="18" t="inlineStr">
        <is>
          <t>Giovana Reis Mesquita</t>
        </is>
      </c>
      <c r="N94" s="18" t="inlineStr">
        <is>
          <t>71 8195-7257</t>
        </is>
      </c>
      <c r="O94" s="326" t="n"/>
      <c r="P94" s="326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s="317">
      <c r="A95" s="1" t="n"/>
      <c r="B95" s="3" t="inlineStr">
        <is>
          <t>Revista Agente Nº19</t>
        </is>
      </c>
      <c r="C95" s="4" t="n">
        <v>1</v>
      </c>
      <c r="D95" s="5" t="n">
        <v>50</v>
      </c>
      <c r="E95" s="5">
        <f>D95*C95</f>
        <v/>
      </c>
      <c r="F95" s="5" t="n">
        <v>0</v>
      </c>
      <c r="G95" s="5">
        <f>F95+E95</f>
        <v/>
      </c>
      <c r="H95" s="320" t="n"/>
      <c r="I95" s="320" t="n"/>
      <c r="J95" s="320" t="n"/>
      <c r="K95" s="320" t="n"/>
      <c r="L95" s="320" t="n"/>
      <c r="M95" s="320" t="n"/>
      <c r="N95" s="320" t="n"/>
      <c r="O95" s="320" t="n"/>
      <c r="P95" s="320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s="317">
      <c r="A96" s="1" t="n"/>
      <c r="B96" s="3" t="inlineStr">
        <is>
          <t>Revista Agente Nº19</t>
        </is>
      </c>
      <c r="C96" s="4" t="n">
        <v>1</v>
      </c>
      <c r="D96" s="5" t="n">
        <v>50</v>
      </c>
      <c r="E96" s="5">
        <f>D96*C96</f>
        <v/>
      </c>
      <c r="F96" s="5" t="n">
        <v>0</v>
      </c>
      <c r="G96" s="5">
        <f>F96+E96</f>
        <v/>
      </c>
      <c r="H96" s="6">
        <f>G96</f>
        <v/>
      </c>
      <c r="I96" s="7" t="n">
        <v>44519</v>
      </c>
      <c r="J96" s="4" t="inlineStr">
        <is>
          <t>Pix</t>
        </is>
      </c>
      <c r="K96" s="4" t="inlineStr">
        <is>
          <t>Consignação Magnelli</t>
        </is>
      </c>
      <c r="L96" s="7" t="n">
        <v>44517</v>
      </c>
      <c r="M96" s="3" t="inlineStr">
        <is>
          <t>Ueliton da Silva Pereira Filho</t>
        </is>
      </c>
      <c r="N96" s="3" t="n"/>
      <c r="O96" s="8" t="n"/>
      <c r="P96" s="3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s="317">
      <c r="A97" s="1" t="n"/>
      <c r="B97" s="3" t="inlineStr">
        <is>
          <t>Revista Agente Nº19</t>
        </is>
      </c>
      <c r="C97" s="4" t="n">
        <v>1</v>
      </c>
      <c r="D97" s="5" t="n">
        <v>50</v>
      </c>
      <c r="E97" s="5">
        <f>D97*C97</f>
        <v/>
      </c>
      <c r="F97" s="5" t="n">
        <v>10.3</v>
      </c>
      <c r="G97" s="5">
        <f>F97+E97</f>
        <v/>
      </c>
      <c r="H97" s="6">
        <f>G97</f>
        <v/>
      </c>
      <c r="I97" s="7" t="n">
        <v>44522</v>
      </c>
      <c r="J97" s="4" t="inlineStr">
        <is>
          <t>Pix</t>
        </is>
      </c>
      <c r="K97" s="4" t="inlineStr">
        <is>
          <t>JN621541232BR</t>
        </is>
      </c>
      <c r="L97" s="7" t="n">
        <v>44524</v>
      </c>
      <c r="M97" s="18" t="inlineStr">
        <is>
          <t>Guadalupe Libório</t>
        </is>
      </c>
      <c r="N97" s="3" t="inlineStr">
        <is>
          <t>21 99887-3829</t>
        </is>
      </c>
      <c r="O97" s="8" t="inlineStr">
        <is>
          <t>mgliborio@hotmail.com</t>
        </is>
      </c>
      <c r="P97" s="3" t="inlineStr">
        <is>
          <t>Rua Sacopã, Nº510, casa, Lagoa, Rio de Janeiro-Rj. CEP 22.471-180</t>
        </is>
      </c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s="317">
      <c r="A98" s="1" t="n"/>
      <c r="B98" s="3" t="inlineStr">
        <is>
          <t>Ruídos e o Silêncio da Vida Confinada</t>
        </is>
      </c>
      <c r="C98" s="4" t="n">
        <v>1</v>
      </c>
      <c r="D98" s="5" t="n">
        <v>65</v>
      </c>
      <c r="E98" s="5">
        <f>D98*C98</f>
        <v/>
      </c>
      <c r="F98" s="5" t="n">
        <v>10.3</v>
      </c>
      <c r="G98" s="5">
        <f>F98+E98</f>
        <v/>
      </c>
      <c r="H98" s="6">
        <f>G98</f>
        <v/>
      </c>
      <c r="I98" s="7" t="n">
        <v>44523</v>
      </c>
      <c r="J98" s="4" t="inlineStr">
        <is>
          <t>Pix</t>
        </is>
      </c>
      <c r="K98" s="4" t="inlineStr">
        <is>
          <t>JN621541250BR</t>
        </is>
      </c>
      <c r="L98" s="7" t="n">
        <v>44524</v>
      </c>
      <c r="M98" s="3" t="inlineStr">
        <is>
          <t>Alessia Fontenelle</t>
        </is>
      </c>
      <c r="N98" s="3" t="inlineStr">
        <is>
          <t>87 8817-9031</t>
        </is>
      </c>
      <c r="O98" s="8" t="inlineStr">
        <is>
          <t>alessiaf@uol.com.br</t>
        </is>
      </c>
      <c r="P98" s="9" t="inlineStr">
        <is>
          <t>Rua Engenheiro Carlos Pinheiro, 171
Centro, Petrolina-PE
CEP: 56302-310</t>
        </is>
      </c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s="317">
      <c r="A99" s="1" t="n"/>
      <c r="B99" s="3" t="inlineStr">
        <is>
          <t>Revista Agente Nº19</t>
        </is>
      </c>
      <c r="C99" s="4" t="n">
        <v>1</v>
      </c>
      <c r="D99" s="5" t="n">
        <v>50</v>
      </c>
      <c r="E99" s="5">
        <f>D99*C99</f>
        <v/>
      </c>
      <c r="F99" s="5" t="n">
        <v>0</v>
      </c>
      <c r="G99" s="5">
        <f>F99+E99</f>
        <v/>
      </c>
      <c r="H99" s="6">
        <f>G99</f>
        <v/>
      </c>
      <c r="I99" s="7" t="n">
        <v>44523</v>
      </c>
      <c r="J99" s="4" t="inlineStr">
        <is>
          <t>Pix</t>
        </is>
      </c>
      <c r="K99" s="4" t="inlineStr">
        <is>
          <t>Consignação Marcela</t>
        </is>
      </c>
      <c r="L99" s="7" t="n">
        <v>44517</v>
      </c>
      <c r="M99" s="3" t="n"/>
      <c r="N99" s="3" t="n"/>
      <c r="O99" s="8" t="n"/>
      <c r="P99" s="3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s="317">
      <c r="A100" s="1" t="n"/>
      <c r="B100" s="3" t="inlineStr">
        <is>
          <t>La diferencia de los sexos no existe</t>
        </is>
      </c>
      <c r="C100" s="4" t="n">
        <v>2</v>
      </c>
      <c r="D100" s="5" t="n">
        <v>85</v>
      </c>
      <c r="E100" s="5">
        <f>D100*C100</f>
        <v/>
      </c>
      <c r="F100" s="5" t="n">
        <v>0</v>
      </c>
      <c r="G100" s="5">
        <f>F100+E100</f>
        <v/>
      </c>
      <c r="H100" s="6">
        <f>G100</f>
        <v/>
      </c>
      <c r="I100" s="7" t="n">
        <v>44524</v>
      </c>
      <c r="J100" s="4" t="inlineStr">
        <is>
          <t>Pix</t>
        </is>
      </c>
      <c r="K100" s="4" t="inlineStr">
        <is>
          <t>Retirou</t>
        </is>
      </c>
      <c r="L100" s="7" t="n">
        <v>44524</v>
      </c>
      <c r="M100" s="3" t="inlineStr">
        <is>
          <t>Luiz Felipe Monteiro</t>
        </is>
      </c>
      <c r="N100" s="3" t="inlineStr">
        <is>
          <t>71 8829-7489</t>
        </is>
      </c>
      <c r="O100" s="8" t="inlineStr">
        <is>
          <t>luizfelipemonteiro@gmail.com</t>
        </is>
      </c>
      <c r="P100" s="3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s="317">
      <c r="A101" s="1" t="n"/>
      <c r="B101" s="3" t="inlineStr">
        <is>
          <t>Revista Agente Nº19</t>
        </is>
      </c>
      <c r="C101" s="4" t="n">
        <v>1</v>
      </c>
      <c r="D101" s="5" t="n">
        <v>50</v>
      </c>
      <c r="E101" s="5">
        <f>D101*C101</f>
        <v/>
      </c>
      <c r="F101" s="5" t="n">
        <v>10.3</v>
      </c>
      <c r="G101" s="5">
        <f>F101+E101</f>
        <v/>
      </c>
      <c r="H101" s="6">
        <f>G101</f>
        <v/>
      </c>
      <c r="I101" s="7" t="n">
        <v>44524</v>
      </c>
      <c r="J101" s="4" t="inlineStr">
        <is>
          <t>Pix</t>
        </is>
      </c>
      <c r="K101" s="4" t="inlineStr">
        <is>
          <t>NAO ENVIADO</t>
        </is>
      </c>
      <c r="L101" s="7" t="n"/>
      <c r="M101" s="18" t="inlineStr">
        <is>
          <t>Pedro Roberto Ivo das Neves</t>
        </is>
      </c>
      <c r="N101" s="3" t="inlineStr">
        <is>
          <t>77 9905-7667</t>
        </is>
      </c>
      <c r="O101" s="8" t="inlineStr">
        <is>
          <t>pedro.clinica@gmail.com</t>
        </is>
      </c>
      <c r="P101" s="9" t="inlineStr">
        <is>
          <t>RUA ULISSES DO PRADO, 20, CASA, BAIRRO CANDEIAS - CEP 45028-662 - VITORIA DA CONQUISTA - BA</t>
        </is>
      </c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s="317">
      <c r="A102" s="1" t="n"/>
      <c r="B102" s="3" t="inlineStr">
        <is>
          <t>Revista Agente Nº19</t>
        </is>
      </c>
      <c r="C102" s="4" t="n">
        <v>1</v>
      </c>
      <c r="D102" s="5" t="n">
        <v>50</v>
      </c>
      <c r="E102" s="5">
        <f>D102*C102</f>
        <v/>
      </c>
      <c r="F102" s="5" t="n">
        <v>0</v>
      </c>
      <c r="G102" s="5">
        <f>F102+E102</f>
        <v/>
      </c>
      <c r="H102" s="6">
        <f>G102</f>
        <v/>
      </c>
      <c r="I102" s="7" t="n">
        <v>44524</v>
      </c>
      <c r="J102" s="4" t="inlineStr">
        <is>
          <t>Pix</t>
        </is>
      </c>
      <c r="K102" s="4" t="inlineStr">
        <is>
          <t>Retirou</t>
        </is>
      </c>
      <c r="L102" s="7" t="n">
        <v>44524</v>
      </c>
      <c r="M102" s="3" t="inlineStr">
        <is>
          <t>Mario Nascimento</t>
        </is>
      </c>
      <c r="N102" s="3" t="n"/>
      <c r="O102" s="8" t="n"/>
      <c r="P102" s="3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s="317">
      <c r="A103" s="1" t="n"/>
      <c r="B103" s="3" t="inlineStr">
        <is>
          <t>Revista Agente Nº19</t>
        </is>
      </c>
      <c r="C103" s="4" t="n">
        <v>1</v>
      </c>
      <c r="D103" s="5" t="n">
        <v>50</v>
      </c>
      <c r="E103" s="5">
        <f>D103*C103</f>
        <v/>
      </c>
      <c r="F103" s="5" t="n">
        <v>0</v>
      </c>
      <c r="G103" s="5">
        <f>F103+E103</f>
        <v/>
      </c>
      <c r="H103" s="6">
        <f>G103</f>
        <v/>
      </c>
      <c r="I103" s="7" t="n">
        <v>44524</v>
      </c>
      <c r="J103" s="4" t="inlineStr">
        <is>
          <t>Pix</t>
        </is>
      </c>
      <c r="K103" s="4" t="inlineStr">
        <is>
          <t>Retirou</t>
        </is>
      </c>
      <c r="L103" s="7" t="n">
        <v>44524</v>
      </c>
      <c r="M103" s="3" t="inlineStr">
        <is>
          <t>Lucy de Castro</t>
        </is>
      </c>
      <c r="N103" s="3" t="n"/>
      <c r="O103" s="8" t="n"/>
      <c r="P103" s="3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s="317">
      <c r="A104" s="1" t="n"/>
      <c r="B104" s="3" t="inlineStr">
        <is>
          <t>Revista Agente Nº19</t>
        </is>
      </c>
      <c r="C104" s="4" t="n">
        <v>1</v>
      </c>
      <c r="D104" s="5" t="n">
        <v>50</v>
      </c>
      <c r="E104" s="5">
        <f>D104*C104</f>
        <v/>
      </c>
      <c r="F104" s="5" t="n">
        <v>0</v>
      </c>
      <c r="G104" s="5">
        <f>F104+E104</f>
        <v/>
      </c>
      <c r="H104" s="6">
        <f>G104</f>
        <v/>
      </c>
      <c r="I104" s="7" t="n">
        <v>44524</v>
      </c>
      <c r="J104" s="4" t="inlineStr">
        <is>
          <t>Pix</t>
        </is>
      </c>
      <c r="K104" s="4" t="inlineStr">
        <is>
          <t>Retirou</t>
        </is>
      </c>
      <c r="L104" s="7" t="n">
        <v>44524</v>
      </c>
      <c r="M104" s="3" t="inlineStr">
        <is>
          <t>Bernardino Horne</t>
        </is>
      </c>
      <c r="N104" s="3" t="n"/>
      <c r="O104" s="8" t="n"/>
      <c r="P104" s="3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s="317">
      <c r="A105" s="1" t="n"/>
      <c r="B105" s="3" t="inlineStr">
        <is>
          <t>Revista Agente Nº18</t>
        </is>
      </c>
      <c r="C105" s="4" t="n">
        <v>1</v>
      </c>
      <c r="D105" s="5" t="n">
        <v>50</v>
      </c>
      <c r="E105" s="5">
        <f>D105*C105</f>
        <v/>
      </c>
      <c r="F105" s="5" t="n">
        <v>0</v>
      </c>
      <c r="G105" s="5">
        <f>F105+E105</f>
        <v/>
      </c>
      <c r="H105" s="6">
        <f>G105+G106</f>
        <v/>
      </c>
      <c r="I105" s="7" t="n">
        <v>44525</v>
      </c>
      <c r="J105" s="4" t="inlineStr">
        <is>
          <t>Pix</t>
        </is>
      </c>
      <c r="K105" s="4" t="inlineStr">
        <is>
          <t>Retirou</t>
        </is>
      </c>
      <c r="L105" s="7" t="n">
        <v>44532</v>
      </c>
      <c r="M105" s="18" t="inlineStr">
        <is>
          <t>Mario Augusto Costa</t>
        </is>
      </c>
      <c r="N105" s="18" t="inlineStr">
        <is>
          <t>71 8721-2059</t>
        </is>
      </c>
      <c r="O105" s="326" t="inlineStr">
        <is>
          <t>matfcosta@gmail.com</t>
        </is>
      </c>
      <c r="P105" s="18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s="317">
      <c r="A106" s="1" t="n"/>
      <c r="B106" s="3" t="inlineStr">
        <is>
          <t>Revista Agente Nº19</t>
        </is>
      </c>
      <c r="C106" s="4" t="n">
        <v>1</v>
      </c>
      <c r="D106" s="5" t="n">
        <v>50</v>
      </c>
      <c r="E106" s="5">
        <f>D106*C106</f>
        <v/>
      </c>
      <c r="F106" s="5" t="n">
        <v>0</v>
      </c>
      <c r="G106" s="5">
        <f>F106+E106</f>
        <v/>
      </c>
      <c r="H106" s="320" t="n"/>
      <c r="I106" s="320" t="n"/>
      <c r="J106" s="320" t="n"/>
      <c r="K106" s="320" t="n"/>
      <c r="L106" s="320" t="n"/>
      <c r="M106" s="320" t="n"/>
      <c r="N106" s="320" t="n"/>
      <c r="O106" s="320" t="n"/>
      <c r="P106" s="320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s="317">
      <c r="A107" s="1" t="n"/>
      <c r="B107" s="3" t="inlineStr">
        <is>
          <t>Revista Agente Nº19</t>
        </is>
      </c>
      <c r="C107" s="4" t="n">
        <v>1</v>
      </c>
      <c r="D107" s="5" t="n">
        <v>50</v>
      </c>
      <c r="E107" s="5">
        <f>D107*C107</f>
        <v/>
      </c>
      <c r="F107" s="5" t="n">
        <v>0</v>
      </c>
      <c r="G107" s="5">
        <f>F107+E107</f>
        <v/>
      </c>
      <c r="H107" s="6">
        <f>G107</f>
        <v/>
      </c>
      <c r="I107" s="7" t="n">
        <v>44529</v>
      </c>
      <c r="J107" s="4" t="inlineStr">
        <is>
          <t>Pix</t>
        </is>
      </c>
      <c r="K107" s="4" t="inlineStr">
        <is>
          <t>Consignação Marcela</t>
        </is>
      </c>
      <c r="L107" s="7" t="n">
        <v>44517</v>
      </c>
      <c r="M107" s="3" t="n"/>
      <c r="N107" s="3" t="n"/>
      <c r="O107" s="8" t="n"/>
      <c r="P107" s="3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s="317">
      <c r="A108" s="1" t="n"/>
      <c r="B108" s="3" t="inlineStr">
        <is>
          <t>Revista Agente Nº19</t>
        </is>
      </c>
      <c r="C108" s="4" t="n">
        <v>2</v>
      </c>
      <c r="D108" s="5" t="n">
        <v>50</v>
      </c>
      <c r="E108" s="5">
        <f>D108*C108</f>
        <v/>
      </c>
      <c r="F108" s="5" t="n">
        <v>0</v>
      </c>
      <c r="G108" s="5">
        <f>F108+E108</f>
        <v/>
      </c>
      <c r="H108" s="6">
        <f>G108</f>
        <v/>
      </c>
      <c r="I108" s="7" t="n">
        <v>44530</v>
      </c>
      <c r="J108" s="4" t="inlineStr">
        <is>
          <t>Pix</t>
        </is>
      </c>
      <c r="K108" s="4" t="inlineStr">
        <is>
          <t>Consignação Marcela</t>
        </is>
      </c>
      <c r="L108" s="7" t="n">
        <v>44517</v>
      </c>
      <c r="M108" s="3" t="n"/>
      <c r="N108" s="3" t="n"/>
      <c r="O108" s="8" t="n"/>
      <c r="P108" s="3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idden="1" s="317">
      <c r="A109" s="1" t="n"/>
      <c r="B109" s="3" t="inlineStr">
        <is>
          <t>Revista Agente Nº19</t>
        </is>
      </c>
      <c r="C109" s="4" t="n">
        <v>1</v>
      </c>
      <c r="D109" s="5" t="n">
        <v>50</v>
      </c>
      <c r="E109" s="5">
        <f>D109*C109</f>
        <v/>
      </c>
      <c r="F109" s="5" t="n">
        <v>0</v>
      </c>
      <c r="G109" s="5">
        <f>F109+E109</f>
        <v/>
      </c>
      <c r="H109" s="6">
        <f>G109</f>
        <v/>
      </c>
      <c r="I109" s="7" t="n">
        <v>44530</v>
      </c>
      <c r="J109" s="4" t="inlineStr">
        <is>
          <t>Pix</t>
        </is>
      </c>
      <c r="K109" s="4" t="inlineStr">
        <is>
          <t>NAO ENVIADO</t>
        </is>
      </c>
      <c r="L109" s="7" t="n"/>
      <c r="M109" s="3" t="inlineStr">
        <is>
          <t>Wilker França</t>
        </is>
      </c>
      <c r="N109" s="3" t="inlineStr">
        <is>
          <t>71 9333-6967</t>
        </is>
      </c>
      <c r="O109" s="8" t="inlineStr">
        <is>
          <t>wilker.pessoa@hotmail.com</t>
        </is>
      </c>
      <c r="P109" s="3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idden="1" s="317">
      <c r="A110" s="1" t="n"/>
      <c r="B110" s="3" t="inlineStr">
        <is>
          <t xml:space="preserve">Nieves - Clínica da Sexuação </t>
        </is>
      </c>
      <c r="C110" s="4" t="n">
        <v>1</v>
      </c>
      <c r="D110" s="5" t="n">
        <v>35</v>
      </c>
      <c r="E110" s="5">
        <f>D110*C110</f>
        <v/>
      </c>
      <c r="F110" s="5" t="n">
        <v>11.3</v>
      </c>
      <c r="G110" s="5">
        <f>F110+E110</f>
        <v/>
      </c>
      <c r="H110" s="6">
        <f>G110</f>
        <v/>
      </c>
      <c r="I110" s="7" t="n">
        <v>44530</v>
      </c>
      <c r="J110" s="4" t="inlineStr">
        <is>
          <t>Pix</t>
        </is>
      </c>
      <c r="K110" s="4" t="inlineStr">
        <is>
          <t>JN621542096BR</t>
        </is>
      </c>
      <c r="L110" s="7" t="n">
        <v>44532</v>
      </c>
      <c r="M110" s="3" t="inlineStr">
        <is>
          <t>Rita Maria Franci Mendonça</t>
        </is>
      </c>
      <c r="N110" s="3" t="inlineStr">
        <is>
          <t>51 9112-9975</t>
        </is>
      </c>
      <c r="O110" s="8" t="inlineStr">
        <is>
          <t>ritaf.mendonca@terra.com.br</t>
        </is>
      </c>
      <c r="P110" s="3" t="inlineStr">
        <is>
          <t>Rua Eng. Álvaro Nunes Pereira 400/802. CEP 90570-110</t>
        </is>
      </c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idden="1" s="317">
      <c r="A111" s="1" t="n"/>
      <c r="B111" s="3" t="inlineStr">
        <is>
          <t>1, 2, 3, 4 - Tomo I</t>
        </is>
      </c>
      <c r="C111" s="4" t="n">
        <v>1</v>
      </c>
      <c r="D111" s="5" t="n">
        <v>169</v>
      </c>
      <c r="E111" s="5">
        <f>D111*C111</f>
        <v/>
      </c>
      <c r="F111" s="5" t="n">
        <v>0</v>
      </c>
      <c r="G111" s="5">
        <f>F111+E111</f>
        <v/>
      </c>
      <c r="H111" s="6">
        <f>G111+G112</f>
        <v/>
      </c>
      <c r="I111" s="331" t="n">
        <v>44530</v>
      </c>
      <c r="J111" s="4" t="inlineStr">
        <is>
          <t>Pix</t>
        </is>
      </c>
      <c r="K111" s="4" t="inlineStr">
        <is>
          <t>Retirou</t>
        </is>
      </c>
      <c r="L111" s="7" t="n">
        <v>44530</v>
      </c>
      <c r="M111" s="18" t="inlineStr">
        <is>
          <t>Ordália Junqueira</t>
        </is>
      </c>
      <c r="N111" s="18" t="inlineStr">
        <is>
          <t>62 9959-1726</t>
        </is>
      </c>
      <c r="O111" s="326" t="inlineStr">
        <is>
          <t>psico.rdom@terra.com.br</t>
        </is>
      </c>
      <c r="P111" s="4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idden="1" s="317">
      <c r="A112" s="1" t="n"/>
      <c r="B112" s="3" t="inlineStr">
        <is>
          <t>Revista Agente Nº19</t>
        </is>
      </c>
      <c r="C112" s="4" t="n">
        <v>1</v>
      </c>
      <c r="D112" s="5" t="n">
        <v>50</v>
      </c>
      <c r="E112" s="5">
        <f>D112*C112</f>
        <v/>
      </c>
      <c r="F112" s="5" t="n">
        <v>0</v>
      </c>
      <c r="G112" s="5">
        <f>F112+E112</f>
        <v/>
      </c>
      <c r="H112" s="320" t="n"/>
      <c r="I112" s="332" t="n"/>
      <c r="J112" s="320" t="n"/>
      <c r="K112" s="320" t="n"/>
      <c r="L112" s="320" t="n"/>
      <c r="M112" s="320" t="n"/>
      <c r="N112" s="320" t="n"/>
      <c r="O112" s="320" t="n"/>
      <c r="P112" s="320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idden="1" s="317">
      <c r="A113" s="1" t="n"/>
      <c r="B113" s="3" t="inlineStr">
        <is>
          <t>Revista Agente Nº19</t>
        </is>
      </c>
      <c r="C113" s="4" t="n">
        <v>1</v>
      </c>
      <c r="D113" s="5" t="n">
        <v>50</v>
      </c>
      <c r="E113" s="5">
        <f>D113*C113</f>
        <v/>
      </c>
      <c r="F113" s="5" t="n">
        <v>11.45</v>
      </c>
      <c r="G113" s="5">
        <f>F113+E113</f>
        <v/>
      </c>
      <c r="H113" s="6">
        <f>G113</f>
        <v/>
      </c>
      <c r="I113" s="7" t="n">
        <v>44536</v>
      </c>
      <c r="J113" s="4" t="inlineStr">
        <is>
          <t>Pix</t>
        </is>
      </c>
      <c r="K113" s="4" t="inlineStr">
        <is>
          <t>JN621542649BR</t>
        </is>
      </c>
      <c r="L113" s="7" t="n">
        <v>44539</v>
      </c>
      <c r="M113" s="3" t="inlineStr">
        <is>
          <t>Maila Thaiane Reis Rocha Siqueira</t>
        </is>
      </c>
      <c r="N113" s="3" t="inlineStr">
        <is>
          <t>62 9190-0095</t>
        </is>
      </c>
      <c r="O113" s="8" t="n"/>
      <c r="P113" s="9" t="inlineStr">
        <is>
          <t>Rua Afonso pena número 147 
Bairro: Maracanãzinho 
Anapolis- Goiás - CEP: 75080-030</t>
        </is>
      </c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idden="1" s="317">
      <c r="A114" s="1" t="n"/>
      <c r="B114" s="3" t="inlineStr">
        <is>
          <t>Revista Agente Nº19</t>
        </is>
      </c>
      <c r="C114" s="4" t="n">
        <v>1</v>
      </c>
      <c r="D114" s="5" t="n">
        <v>50</v>
      </c>
      <c r="E114" s="5">
        <f>D114*C114</f>
        <v/>
      </c>
      <c r="F114" s="5" t="n">
        <v>11.45</v>
      </c>
      <c r="G114" s="5">
        <f>F114+E114</f>
        <v/>
      </c>
      <c r="H114" s="6">
        <f>G114</f>
        <v/>
      </c>
      <c r="I114" s="7" t="n">
        <v>44536</v>
      </c>
      <c r="J114" s="4" t="inlineStr">
        <is>
          <t>Pix</t>
        </is>
      </c>
      <c r="K114" s="4" t="inlineStr">
        <is>
          <t>JN621542652BR</t>
        </is>
      </c>
      <c r="L114" s="7" t="n">
        <v>44539</v>
      </c>
      <c r="M114" s="3" t="inlineStr">
        <is>
          <t>Kesia Ramos</t>
        </is>
      </c>
      <c r="N114" s="3" t="inlineStr">
        <is>
          <t>81 9978-7111</t>
        </is>
      </c>
      <c r="O114" s="8" t="n"/>
      <c r="P114" s="9" t="inlineStr">
        <is>
          <t>Rua do Futuro, 321 apto 702
CEP:52050-005
Recife-PE</t>
        </is>
      </c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idden="1" s="317">
      <c r="A115" s="1" t="n"/>
      <c r="B115" s="3" t="inlineStr">
        <is>
          <t>Ruídos e o Silêncio da Vida Confinada</t>
        </is>
      </c>
      <c r="C115" s="4" t="n">
        <v>1</v>
      </c>
      <c r="D115" s="5" t="n">
        <v>77.5</v>
      </c>
      <c r="E115" s="5">
        <f>D115*C115</f>
        <v/>
      </c>
      <c r="F115" s="5" t="n">
        <v>0</v>
      </c>
      <c r="G115" s="5">
        <f>F115+E115</f>
        <v/>
      </c>
      <c r="H115" s="6">
        <f>G115</f>
        <v/>
      </c>
      <c r="I115" s="7" t="n">
        <v>44539</v>
      </c>
      <c r="J115" s="4" t="inlineStr">
        <is>
          <t>Pix</t>
        </is>
      </c>
      <c r="K115" s="4" t="n"/>
      <c r="L115" s="7" t="n"/>
      <c r="M115" s="3" t="inlineStr">
        <is>
          <t>Maria Luiza Mota Miranda</t>
        </is>
      </c>
      <c r="N115" s="3" t="inlineStr">
        <is>
          <t>71 9944-7888</t>
        </is>
      </c>
      <c r="O115" s="8" t="n"/>
      <c r="P115" s="3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idden="1" s="317">
      <c r="A116" s="1" t="n"/>
      <c r="B116" s="3" t="inlineStr">
        <is>
          <t>Revista Agente Nº19</t>
        </is>
      </c>
      <c r="C116" s="4" t="n">
        <v>1</v>
      </c>
      <c r="D116" s="5" t="n">
        <v>50</v>
      </c>
      <c r="E116" s="5">
        <f>D116*C116</f>
        <v/>
      </c>
      <c r="F116" s="5" t="n">
        <v>0</v>
      </c>
      <c r="G116" s="5">
        <f>F116+E116</f>
        <v/>
      </c>
      <c r="H116" s="6">
        <f>G116</f>
        <v/>
      </c>
      <c r="I116" s="7" t="n">
        <v>44539</v>
      </c>
      <c r="J116" s="4" t="inlineStr">
        <is>
          <t>Pix</t>
        </is>
      </c>
      <c r="K116" s="4" t="inlineStr">
        <is>
          <t>Consignação Magnelli</t>
        </is>
      </c>
      <c r="L116" s="7" t="n">
        <v>44518</v>
      </c>
      <c r="M116" s="3" t="inlineStr">
        <is>
          <t>Guacira C Oliveira</t>
        </is>
      </c>
      <c r="N116" s="3" t="inlineStr">
        <is>
          <t>71 9106-8006</t>
        </is>
      </c>
      <c r="O116" s="8" t="n"/>
      <c r="P116" s="9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idden="1" s="317">
      <c r="A117" s="1" t="n"/>
      <c r="B117" s="3" t="inlineStr">
        <is>
          <t>Revista Agente Nº19</t>
        </is>
      </c>
      <c r="C117" s="4" t="n">
        <v>2</v>
      </c>
      <c r="D117" s="5" t="n">
        <v>50</v>
      </c>
      <c r="E117" s="5">
        <f>D117*C117</f>
        <v/>
      </c>
      <c r="F117" s="5" t="n">
        <v>0</v>
      </c>
      <c r="G117" s="5">
        <f>F117+E117</f>
        <v/>
      </c>
      <c r="H117" s="6">
        <f>G117</f>
        <v/>
      </c>
      <c r="I117" s="7" t="n">
        <v>44539</v>
      </c>
      <c r="J117" s="4" t="inlineStr">
        <is>
          <t>Pix</t>
        </is>
      </c>
      <c r="K117" s="4" t="inlineStr">
        <is>
          <t>Consignação Magnelli</t>
        </is>
      </c>
      <c r="L117" s="7" t="n">
        <v>44518</v>
      </c>
      <c r="M117" s="3" t="inlineStr">
        <is>
          <t>Marcelo Magnelli</t>
        </is>
      </c>
      <c r="N117" s="3" t="inlineStr">
        <is>
          <t>71 9612-4125</t>
        </is>
      </c>
      <c r="O117" s="8" t="n"/>
      <c r="P117" s="9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idden="1" s="317">
      <c r="A118" s="1" t="n"/>
      <c r="B118" s="3" t="inlineStr">
        <is>
          <t>Revista Agente Nº19</t>
        </is>
      </c>
      <c r="C118" s="4" t="n">
        <v>1</v>
      </c>
      <c r="D118" s="5" t="n">
        <v>50</v>
      </c>
      <c r="E118" s="5">
        <f>D118*C118</f>
        <v/>
      </c>
      <c r="F118" s="5" t="n">
        <v>0</v>
      </c>
      <c r="G118" s="5">
        <f>F118+E118</f>
        <v/>
      </c>
      <c r="H118" s="6">
        <f>G118</f>
        <v/>
      </c>
      <c r="I118" s="7" t="n">
        <v>44539</v>
      </c>
      <c r="J118" s="4" t="inlineStr">
        <is>
          <t>Pix</t>
        </is>
      </c>
      <c r="K118" s="7" t="inlineStr">
        <is>
          <t>Retirou</t>
        </is>
      </c>
      <c r="L118" s="7" t="n">
        <v>44539</v>
      </c>
      <c r="M118" s="3" t="inlineStr">
        <is>
          <t>Marcelo Veras</t>
        </is>
      </c>
      <c r="N118" s="3" t="n"/>
      <c r="O118" s="3" t="n"/>
      <c r="P118" s="9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idden="1" s="317">
      <c r="A119" s="1" t="n"/>
      <c r="B119" s="3" t="inlineStr">
        <is>
          <t>Revista Agente Nº19</t>
        </is>
      </c>
      <c r="C119" s="4" t="n">
        <v>1</v>
      </c>
      <c r="D119" s="5" t="n">
        <v>50</v>
      </c>
      <c r="E119" s="5">
        <f>D119*C119</f>
        <v/>
      </c>
      <c r="F119" s="5" t="n">
        <v>0</v>
      </c>
      <c r="G119" s="5">
        <f>F119+E119</f>
        <v/>
      </c>
      <c r="H119" s="6">
        <f>G119</f>
        <v/>
      </c>
      <c r="I119" s="7" t="n">
        <v>44539</v>
      </c>
      <c r="J119" s="4" t="inlineStr">
        <is>
          <t>Pix</t>
        </is>
      </c>
      <c r="K119" s="4" t="inlineStr">
        <is>
          <t>Retirou</t>
        </is>
      </c>
      <c r="L119" s="7" t="n">
        <v>44539</v>
      </c>
      <c r="M119" s="3" t="inlineStr">
        <is>
          <t>Analicea Calmon</t>
        </is>
      </c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idden="1" s="317">
      <c r="A120" s="1" t="n"/>
      <c r="B120" s="3" t="n"/>
      <c r="C120" s="4" t="n">
        <v>1</v>
      </c>
      <c r="D120" s="5" t="n">
        <v>50</v>
      </c>
      <c r="E120" s="5">
        <f>D120*C120</f>
        <v/>
      </c>
      <c r="F120" s="5" t="n"/>
      <c r="G120" s="5">
        <f>F120+E120</f>
        <v/>
      </c>
      <c r="H120" s="6">
        <f>G120</f>
        <v/>
      </c>
      <c r="I120" s="7" t="n">
        <v>44544</v>
      </c>
      <c r="J120" s="4" t="n"/>
      <c r="K120" s="4" t="n"/>
      <c r="L120" s="7" t="n"/>
      <c r="M120" s="18" t="n"/>
      <c r="N120" s="3" t="n"/>
      <c r="O120" s="8" t="n"/>
      <c r="P120" s="3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idden="1" s="317">
      <c r="A121" s="1" t="n"/>
      <c r="B121" s="3" t="inlineStr">
        <is>
          <t>Revista Agente Nº19</t>
        </is>
      </c>
      <c r="C121" s="4" t="n">
        <v>1</v>
      </c>
      <c r="D121" s="5" t="n">
        <v>50</v>
      </c>
      <c r="E121" s="5">
        <f>D121*C121</f>
        <v/>
      </c>
      <c r="F121" s="5" t="n">
        <v>0</v>
      </c>
      <c r="G121" s="5">
        <f>F121+E121</f>
        <v/>
      </c>
      <c r="H121" s="6">
        <f>G121</f>
        <v/>
      </c>
      <c r="I121" s="7" t="n">
        <v>44545</v>
      </c>
      <c r="J121" s="4" t="inlineStr">
        <is>
          <t>Pix</t>
        </is>
      </c>
      <c r="K121" s="4" t="inlineStr">
        <is>
          <t>Retirou</t>
        </is>
      </c>
      <c r="L121" s="7" t="n">
        <v>44545</v>
      </c>
      <c r="M121" s="18" t="inlineStr">
        <is>
          <t>Dayane Cairo</t>
        </is>
      </c>
      <c r="N121" s="3" t="n"/>
      <c r="O121" s="8" t="n"/>
      <c r="P121" s="3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idden="1" s="317">
      <c r="A122" s="1" t="n"/>
      <c r="B122" s="3" t="inlineStr">
        <is>
          <t>Revista Agente Nº19</t>
        </is>
      </c>
      <c r="C122" s="4" t="n">
        <v>1</v>
      </c>
      <c r="D122" s="5" t="n">
        <v>50</v>
      </c>
      <c r="E122" s="5">
        <f>D122*C122</f>
        <v/>
      </c>
      <c r="F122" s="5" t="n">
        <v>0</v>
      </c>
      <c r="G122" s="5">
        <f>F122+E122</f>
        <v/>
      </c>
      <c r="H122" s="6">
        <f>G122</f>
        <v/>
      </c>
      <c r="I122" s="7" t="n">
        <v>44545</v>
      </c>
      <c r="J122" s="4" t="inlineStr">
        <is>
          <t>Pix</t>
        </is>
      </c>
      <c r="K122" s="4" t="inlineStr">
        <is>
          <t>Retirou</t>
        </is>
      </c>
      <c r="L122" s="7" t="n">
        <v>44545</v>
      </c>
      <c r="M122" s="18" t="inlineStr">
        <is>
          <t>Marta Medeiros</t>
        </is>
      </c>
      <c r="N122" s="3" t="n"/>
      <c r="O122" s="8" t="n"/>
      <c r="P122" s="3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idden="1" s="317">
      <c r="A123" s="1" t="n"/>
      <c r="B123" s="3" t="inlineStr">
        <is>
          <t>Revista Agente Nº19</t>
        </is>
      </c>
      <c r="C123" s="4" t="n">
        <v>1</v>
      </c>
      <c r="D123" s="5" t="n">
        <v>50</v>
      </c>
      <c r="E123" s="5">
        <f>D123*C123</f>
        <v/>
      </c>
      <c r="F123" s="5" t="n">
        <v>0</v>
      </c>
      <c r="G123" s="5">
        <f>F123+E123</f>
        <v/>
      </c>
      <c r="H123" s="6">
        <f>G123</f>
        <v/>
      </c>
      <c r="I123" s="7" t="n">
        <v>44545</v>
      </c>
      <c r="J123" s="4" t="inlineStr">
        <is>
          <t>Pix</t>
        </is>
      </c>
      <c r="K123" s="4" t="inlineStr">
        <is>
          <t>Retirou</t>
        </is>
      </c>
      <c r="L123" s="7" t="n">
        <v>44545</v>
      </c>
      <c r="M123" s="22" t="inlineStr">
        <is>
          <t>Raquel Matias Martins</t>
        </is>
      </c>
      <c r="N123" s="3" t="n"/>
      <c r="O123" s="3" t="n"/>
      <c r="P123" s="9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idden="1" s="317">
      <c r="A124" s="1" t="n"/>
      <c r="B124" s="3" t="inlineStr">
        <is>
          <t>Revista Agente Nº19</t>
        </is>
      </c>
      <c r="C124" s="4" t="n">
        <v>1</v>
      </c>
      <c r="D124" s="5" t="n">
        <v>50</v>
      </c>
      <c r="E124" s="5">
        <f>D124*C124</f>
        <v/>
      </c>
      <c r="F124" s="5" t="n">
        <v>0</v>
      </c>
      <c r="G124" s="5">
        <f>F124+E124</f>
        <v/>
      </c>
      <c r="H124" s="6">
        <f>G124</f>
        <v/>
      </c>
      <c r="I124" s="7" t="n">
        <v>44546</v>
      </c>
      <c r="J124" s="4" t="inlineStr">
        <is>
          <t>Pix</t>
        </is>
      </c>
      <c r="K124" s="4" t="inlineStr">
        <is>
          <t>Retirou 08/02/2022</t>
        </is>
      </c>
      <c r="L124" s="7" t="n">
        <v>44600</v>
      </c>
      <c r="M124" s="22" t="inlineStr">
        <is>
          <t>Bruna Rocha</t>
        </is>
      </c>
      <c r="N124" s="3" t="n"/>
      <c r="O124" s="3" t="n"/>
      <c r="P124" s="9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idden="1" s="317">
      <c r="A125" s="1" t="n"/>
      <c r="B125" s="3" t="inlineStr">
        <is>
          <t>Revista Agente Nº19</t>
        </is>
      </c>
      <c r="C125" s="4" t="n">
        <v>1</v>
      </c>
      <c r="D125" s="5" t="n">
        <v>50</v>
      </c>
      <c r="E125" s="5">
        <f>D125*C125</f>
        <v/>
      </c>
      <c r="F125" s="5" t="n">
        <v>0</v>
      </c>
      <c r="G125" s="5">
        <f>F125+E125</f>
        <v/>
      </c>
      <c r="H125" s="6">
        <f>G125</f>
        <v/>
      </c>
      <c r="I125" s="7" t="n">
        <v>44547</v>
      </c>
      <c r="J125" s="4" t="inlineStr">
        <is>
          <t>Pix</t>
        </is>
      </c>
      <c r="K125" s="4" t="inlineStr">
        <is>
          <t>Consignação Alessia</t>
        </is>
      </c>
      <c r="L125" s="7" t="n"/>
      <c r="M125" s="22" t="inlineStr">
        <is>
          <t>Geovan Cardoso dos Santos</t>
        </is>
      </c>
      <c r="N125" s="3" t="n"/>
      <c r="O125" s="3" t="n"/>
      <c r="P125" s="9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idden="1" s="317">
      <c r="A126" s="1" t="n"/>
      <c r="B126" s="3" t="inlineStr">
        <is>
          <t>Revista Agente Nº19</t>
        </is>
      </c>
      <c r="C126" s="4" t="n">
        <v>1</v>
      </c>
      <c r="D126" s="5" t="n">
        <v>50</v>
      </c>
      <c r="E126" s="5">
        <f>D126*C126</f>
        <v/>
      </c>
      <c r="F126" s="5" t="n">
        <v>0</v>
      </c>
      <c r="G126" s="5">
        <f>F126+E126</f>
        <v/>
      </c>
      <c r="H126" s="6">
        <f>G126</f>
        <v/>
      </c>
      <c r="I126" s="7" t="n">
        <v>44551</v>
      </c>
      <c r="J126" s="4" t="inlineStr">
        <is>
          <t>Pix</t>
        </is>
      </c>
      <c r="K126" s="23" t="inlineStr">
        <is>
          <t>Envio para Minas por Liliane Salles</t>
        </is>
      </c>
      <c r="L126" s="7" t="n">
        <v>44546</v>
      </c>
      <c r="M126" s="22" t="inlineStr">
        <is>
          <t>Fernanda Otoni</t>
        </is>
      </c>
      <c r="N126" s="3" t="n"/>
      <c r="O126" s="3" t="n"/>
      <c r="P126" s="9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idden="1" s="317">
      <c r="A127" s="1" t="n"/>
      <c r="B127" s="3" t="inlineStr">
        <is>
          <t>Revista Agente Nº19</t>
        </is>
      </c>
      <c r="C127" s="4" t="n">
        <v>1</v>
      </c>
      <c r="D127" s="5" t="n">
        <v>50</v>
      </c>
      <c r="E127" s="5">
        <f>D127*C127</f>
        <v/>
      </c>
      <c r="F127" s="5" t="n">
        <v>10.06</v>
      </c>
      <c r="G127" s="5" t="n">
        <v>50</v>
      </c>
      <c r="H127" s="6">
        <f>G127</f>
        <v/>
      </c>
      <c r="I127" s="7" t="n">
        <v>44551</v>
      </c>
      <c r="J127" s="4" t="inlineStr">
        <is>
          <t>Pix</t>
        </is>
      </c>
      <c r="K127" s="4" t="inlineStr">
        <is>
          <t>JN621544358BR</t>
        </is>
      </c>
      <c r="L127" s="7" t="n">
        <v>44214</v>
      </c>
      <c r="M127" s="18" t="inlineStr">
        <is>
          <t>Ana Lucia Lutterbach</t>
        </is>
      </c>
      <c r="N127" s="3" t="n"/>
      <c r="O127" s="8" t="n"/>
      <c r="P127" s="3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idden="1" s="317">
      <c r="A128" s="1" t="n"/>
      <c r="B128" s="3" t="inlineStr">
        <is>
          <t>Revista Agente Nº19</t>
        </is>
      </c>
      <c r="C128" s="4" t="n">
        <v>1</v>
      </c>
      <c r="D128" s="5" t="n">
        <v>50</v>
      </c>
      <c r="E128" s="5">
        <f>D128*C128</f>
        <v/>
      </c>
      <c r="F128" s="5" t="n">
        <v>0</v>
      </c>
      <c r="G128" s="5">
        <f>F128+E128</f>
        <v/>
      </c>
      <c r="H128" s="6">
        <f>G128</f>
        <v/>
      </c>
      <c r="I128" s="7" t="n">
        <v>44551</v>
      </c>
      <c r="J128" s="4" t="inlineStr">
        <is>
          <t>Pix</t>
        </is>
      </c>
      <c r="K128" s="23" t="inlineStr">
        <is>
          <t>Deixei no Consultório de Marcela</t>
        </is>
      </c>
      <c r="L128" s="7" t="n"/>
      <c r="M128" s="18" t="inlineStr">
        <is>
          <t>Debora Leite Ribeiro</t>
        </is>
      </c>
      <c r="N128" s="3" t="n"/>
      <c r="O128" s="8" t="n"/>
      <c r="P128" s="9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idden="1" s="317">
      <c r="A129" s="1" t="n"/>
      <c r="B129" s="3" t="inlineStr">
        <is>
          <t>Revista Agente Nº19</t>
        </is>
      </c>
      <c r="C129" s="4" t="n">
        <v>1</v>
      </c>
      <c r="D129" s="5" t="n">
        <v>50</v>
      </c>
      <c r="E129" s="5">
        <f>D129*C129</f>
        <v/>
      </c>
      <c r="F129" s="5" t="n">
        <v>0</v>
      </c>
      <c r="G129" s="5">
        <f>F129+E129</f>
        <v/>
      </c>
      <c r="H129" s="6">
        <f>G129</f>
        <v/>
      </c>
      <c r="I129" s="7" t="n">
        <v>44551</v>
      </c>
      <c r="J129" s="4" t="inlineStr">
        <is>
          <t>Pix</t>
        </is>
      </c>
      <c r="K129" s="23" t="inlineStr">
        <is>
          <t>Deixei na casa dela junto com as Revistas para Minas</t>
        </is>
      </c>
      <c r="L129" s="7" t="n">
        <v>44546</v>
      </c>
      <c r="M129" s="18" t="inlineStr">
        <is>
          <t>Liliane Salles</t>
        </is>
      </c>
      <c r="N129" s="3" t="n"/>
      <c r="O129" s="8" t="n"/>
      <c r="P129" s="9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idden="1" s="317">
      <c r="A130" s="1" t="n"/>
      <c r="B130" s="3" t="inlineStr">
        <is>
          <t>Ruídos e o Silêncio da Vida Confinada</t>
        </is>
      </c>
      <c r="C130" s="4" t="n">
        <v>1</v>
      </c>
      <c r="D130" s="5" t="n">
        <v>65</v>
      </c>
      <c r="E130" s="5">
        <f>D130*C130</f>
        <v/>
      </c>
      <c r="F130" s="5" t="n">
        <v>0</v>
      </c>
      <c r="G130" s="5">
        <f>F130+E130</f>
        <v/>
      </c>
      <c r="H130" s="6">
        <f>G130</f>
        <v/>
      </c>
      <c r="I130" s="7" t="n">
        <v>44560</v>
      </c>
      <c r="J130" s="4" t="inlineStr">
        <is>
          <t>Pix</t>
        </is>
      </c>
      <c r="K130" s="4" t="inlineStr">
        <is>
          <t>Consignação Alessia</t>
        </is>
      </c>
      <c r="L130" s="7" t="n">
        <v>44539</v>
      </c>
      <c r="M130" s="18" t="inlineStr">
        <is>
          <t>Alessia Fontenelle</t>
        </is>
      </c>
      <c r="N130" s="3" t="n"/>
      <c r="O130" s="8" t="n"/>
      <c r="P130" s="3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idden="1" s="317">
      <c r="A131" s="1" t="n"/>
      <c r="B131" s="333" t="inlineStr">
        <is>
          <t>TOTAL VENDAS 2021</t>
        </is>
      </c>
      <c r="C131" s="334" t="n"/>
      <c r="D131" s="334" t="n"/>
      <c r="E131" s="334" t="n"/>
      <c r="F131" s="334" t="n"/>
      <c r="G131" s="335" t="n"/>
      <c r="H131" s="47">
        <f>SUM(H4:H130)</f>
        <v/>
      </c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29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4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3:$P$131">
    <filterColumn colId="0" hiddenButton="0" showButton="1">
      <filters>
        <filter val="O Ser e a Letra"/>
      </filters>
    </filterColumn>
  </autoFilter>
  <mergeCells count="164">
    <mergeCell ref="P6:P7"/>
    <mergeCell ref="H11:H12"/>
    <mergeCell ref="J11:J12"/>
    <mergeCell ref="I88:I90"/>
    <mergeCell ref="H39:H40"/>
    <mergeCell ref="N61:N62"/>
    <mergeCell ref="P61:P62"/>
    <mergeCell ref="H79:H80"/>
    <mergeCell ref="H61:H62"/>
    <mergeCell ref="O56:O57"/>
    <mergeCell ref="H94:H95"/>
    <mergeCell ref="L39:L40"/>
    <mergeCell ref="N39:N40"/>
    <mergeCell ref="K105:K106"/>
    <mergeCell ref="K61:K62"/>
    <mergeCell ref="J94:J95"/>
    <mergeCell ref="H105:H106"/>
    <mergeCell ref="L94:L95"/>
    <mergeCell ref="M61:M62"/>
    <mergeCell ref="H15:H16"/>
    <mergeCell ref="J111:J112"/>
    <mergeCell ref="L111:L112"/>
    <mergeCell ref="I17:I22"/>
    <mergeCell ref="H92:H93"/>
    <mergeCell ref="K17:K22"/>
    <mergeCell ref="I53:I55"/>
    <mergeCell ref="I6:I7"/>
    <mergeCell ref="O39:O40"/>
    <mergeCell ref="I15:I16"/>
    <mergeCell ref="K6:K7"/>
    <mergeCell ref="K15:K16"/>
    <mergeCell ref="M111:M112"/>
    <mergeCell ref="O111:O112"/>
    <mergeCell ref="K92:K93"/>
    <mergeCell ref="L88:L90"/>
    <mergeCell ref="N88:N90"/>
    <mergeCell ref="M39:M40"/>
    <mergeCell ref="K79:K80"/>
    <mergeCell ref="M79:M80"/>
    <mergeCell ref="J74:J75"/>
    <mergeCell ref="K94:K95"/>
    <mergeCell ref="O92:O93"/>
    <mergeCell ref="M94:M95"/>
    <mergeCell ref="H49:H50"/>
    <mergeCell ref="J49:J50"/>
    <mergeCell ref="P11:P12"/>
    <mergeCell ref="N105:N106"/>
    <mergeCell ref="P105:P106"/>
    <mergeCell ref="I56:I57"/>
    <mergeCell ref="K56:K57"/>
    <mergeCell ref="N92:N93"/>
    <mergeCell ref="P39:P40"/>
    <mergeCell ref="M105:M106"/>
    <mergeCell ref="M74:M75"/>
    <mergeCell ref="O74:O75"/>
    <mergeCell ref="N17:N22"/>
    <mergeCell ref="J53:J55"/>
    <mergeCell ref="P17:P22"/>
    <mergeCell ref="L53:L55"/>
    <mergeCell ref="H17:H22"/>
    <mergeCell ref="N53:N55"/>
    <mergeCell ref="L6:L7"/>
    <mergeCell ref="N6:N7"/>
    <mergeCell ref="N15:N16"/>
    <mergeCell ref="P15:P16"/>
    <mergeCell ref="H111:H112"/>
    <mergeCell ref="O88:O90"/>
    <mergeCell ref="P92:P93"/>
    <mergeCell ref="B131:G131"/>
    <mergeCell ref="N79:N80"/>
    <mergeCell ref="P64:P65"/>
    <mergeCell ref="P79:P80"/>
    <mergeCell ref="N8:N10"/>
    <mergeCell ref="P8:P10"/>
    <mergeCell ref="J64:J65"/>
    <mergeCell ref="M92:M93"/>
    <mergeCell ref="N94:N95"/>
    <mergeCell ref="J92:J93"/>
    <mergeCell ref="J39:J40"/>
    <mergeCell ref="I11:I12"/>
    <mergeCell ref="M49:M50"/>
    <mergeCell ref="O49:O50"/>
    <mergeCell ref="I61:I62"/>
    <mergeCell ref="N56:N57"/>
    <mergeCell ref="P56:P57"/>
    <mergeCell ref="H74:H75"/>
    <mergeCell ref="M11:M12"/>
    <mergeCell ref="H56:H57"/>
    <mergeCell ref="P49:P50"/>
    <mergeCell ref="M15:M16"/>
    <mergeCell ref="K11:K12"/>
    <mergeCell ref="L74:L75"/>
    <mergeCell ref="O64:O65"/>
    <mergeCell ref="I111:I112"/>
    <mergeCell ref="H8:H10"/>
    <mergeCell ref="K111:K112"/>
    <mergeCell ref="J8:J10"/>
    <mergeCell ref="J88:J90"/>
    <mergeCell ref="I39:I40"/>
    <mergeCell ref="H53:H55"/>
    <mergeCell ref="I79:I80"/>
    <mergeCell ref="O11:O12"/>
    <mergeCell ref="I94:I95"/>
    <mergeCell ref="L11:L12"/>
    <mergeCell ref="J105:J106"/>
    <mergeCell ref="N11:N12"/>
    <mergeCell ref="K88:K90"/>
    <mergeCell ref="L105:L106"/>
    <mergeCell ref="M88:M90"/>
    <mergeCell ref="J61:J62"/>
    <mergeCell ref="L61:L62"/>
    <mergeCell ref="I74:I75"/>
    <mergeCell ref="K74:K75"/>
    <mergeCell ref="I8:I10"/>
    <mergeCell ref="K8:K10"/>
    <mergeCell ref="I49:I50"/>
    <mergeCell ref="K49:K50"/>
    <mergeCell ref="O105:O106"/>
    <mergeCell ref="J17:J22"/>
    <mergeCell ref="I105:I106"/>
    <mergeCell ref="B2:P2"/>
    <mergeCell ref="L17:L22"/>
    <mergeCell ref="P53:P55"/>
    <mergeCell ref="P94:P95"/>
    <mergeCell ref="H6:H7"/>
    <mergeCell ref="J6:J7"/>
    <mergeCell ref="H64:H65"/>
    <mergeCell ref="J15:J16"/>
    <mergeCell ref="L15:L16"/>
    <mergeCell ref="N111:N112"/>
    <mergeCell ref="M8:M10"/>
    <mergeCell ref="P111:P112"/>
    <mergeCell ref="O8:O10"/>
    <mergeCell ref="L92:L93"/>
    <mergeCell ref="K53:K55"/>
    <mergeCell ref="J79:J80"/>
    <mergeCell ref="M53:M55"/>
    <mergeCell ref="L64:L65"/>
    <mergeCell ref="L79:L80"/>
    <mergeCell ref="N64:N65"/>
    <mergeCell ref="M6:M7"/>
    <mergeCell ref="I92:I93"/>
    <mergeCell ref="K39:K40"/>
    <mergeCell ref="O53:O55"/>
    <mergeCell ref="P88:P90"/>
    <mergeCell ref="J56:J57"/>
    <mergeCell ref="O79:O80"/>
    <mergeCell ref="L56:L57"/>
    <mergeCell ref="O61:O62"/>
    <mergeCell ref="I64:I65"/>
    <mergeCell ref="N74:N75"/>
    <mergeCell ref="P74:P75"/>
    <mergeCell ref="O94:O95"/>
    <mergeCell ref="L49:L50"/>
    <mergeCell ref="N49:N50"/>
    <mergeCell ref="H88:H90"/>
    <mergeCell ref="M17:M22"/>
    <mergeCell ref="M56:M57"/>
    <mergeCell ref="O17:O22"/>
    <mergeCell ref="L8:L10"/>
    <mergeCell ref="K64:K65"/>
    <mergeCell ref="O6:O7"/>
    <mergeCell ref="M64:M65"/>
    <mergeCell ref="O15:O16"/>
  </mergeCell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8" r:id="rId3"/>
    <hyperlink xmlns:r="http://schemas.openxmlformats.org/officeDocument/2006/relationships" ref="O14" r:id="rId4"/>
    <hyperlink xmlns:r="http://schemas.openxmlformats.org/officeDocument/2006/relationships" ref="O17" r:id="rId5"/>
    <hyperlink xmlns:r="http://schemas.openxmlformats.org/officeDocument/2006/relationships" ref="O23" r:id="rId6"/>
    <hyperlink xmlns:r="http://schemas.openxmlformats.org/officeDocument/2006/relationships" ref="O24" r:id="rId7"/>
    <hyperlink xmlns:r="http://schemas.openxmlformats.org/officeDocument/2006/relationships" ref="O27" r:id="rId8"/>
    <hyperlink xmlns:r="http://schemas.openxmlformats.org/officeDocument/2006/relationships" ref="O42" r:id="rId9"/>
    <hyperlink xmlns:r="http://schemas.openxmlformats.org/officeDocument/2006/relationships" ref="O46" r:id="rId10"/>
    <hyperlink xmlns:r="http://schemas.openxmlformats.org/officeDocument/2006/relationships" ref="O47" r:id="rId11"/>
    <hyperlink xmlns:r="http://schemas.openxmlformats.org/officeDocument/2006/relationships" ref="O49" r:id="rId12"/>
    <hyperlink xmlns:r="http://schemas.openxmlformats.org/officeDocument/2006/relationships" ref="O53" r:id="rId13"/>
    <hyperlink xmlns:r="http://schemas.openxmlformats.org/officeDocument/2006/relationships" ref="O58" r:id="rId14"/>
    <hyperlink xmlns:r="http://schemas.openxmlformats.org/officeDocument/2006/relationships" ref="O60" r:id="rId15"/>
    <hyperlink xmlns:r="http://schemas.openxmlformats.org/officeDocument/2006/relationships" ref="O63" r:id="rId16"/>
    <hyperlink xmlns:r="http://schemas.openxmlformats.org/officeDocument/2006/relationships" ref="O66" r:id="rId17"/>
    <hyperlink xmlns:r="http://schemas.openxmlformats.org/officeDocument/2006/relationships" ref="O67" r:id="rId18"/>
    <hyperlink xmlns:r="http://schemas.openxmlformats.org/officeDocument/2006/relationships" ref="O68" r:id="rId19"/>
    <hyperlink xmlns:r="http://schemas.openxmlformats.org/officeDocument/2006/relationships" ref="O71" r:id="rId20"/>
    <hyperlink xmlns:r="http://schemas.openxmlformats.org/officeDocument/2006/relationships" ref="O72" r:id="rId21"/>
    <hyperlink xmlns:r="http://schemas.openxmlformats.org/officeDocument/2006/relationships" ref="O73" r:id="rId22"/>
    <hyperlink xmlns:r="http://schemas.openxmlformats.org/officeDocument/2006/relationships" ref="O79" r:id="rId23"/>
    <hyperlink xmlns:r="http://schemas.openxmlformats.org/officeDocument/2006/relationships" ref="O82" r:id="rId24"/>
    <hyperlink xmlns:r="http://schemas.openxmlformats.org/officeDocument/2006/relationships" ref="O83" r:id="rId25"/>
    <hyperlink xmlns:r="http://schemas.openxmlformats.org/officeDocument/2006/relationships" ref="O84" r:id="rId26"/>
    <hyperlink xmlns:r="http://schemas.openxmlformats.org/officeDocument/2006/relationships" ref="O88" r:id="rId27"/>
    <hyperlink xmlns:r="http://schemas.openxmlformats.org/officeDocument/2006/relationships" ref="O97" r:id="rId28"/>
    <hyperlink xmlns:r="http://schemas.openxmlformats.org/officeDocument/2006/relationships" ref="O98" r:id="rId29"/>
    <hyperlink xmlns:r="http://schemas.openxmlformats.org/officeDocument/2006/relationships" ref="O100" r:id="rId30"/>
    <hyperlink xmlns:r="http://schemas.openxmlformats.org/officeDocument/2006/relationships" ref="O101" r:id="rId31"/>
    <hyperlink xmlns:r="http://schemas.openxmlformats.org/officeDocument/2006/relationships" ref="O105" r:id="rId32"/>
    <hyperlink xmlns:r="http://schemas.openxmlformats.org/officeDocument/2006/relationships" ref="O109" r:id="rId33"/>
    <hyperlink xmlns:r="http://schemas.openxmlformats.org/officeDocument/2006/relationships" ref="O110" r:id="rId34"/>
    <hyperlink xmlns:r="http://schemas.openxmlformats.org/officeDocument/2006/relationships" ref="O111" r:id="rId35"/>
  </hyperlinks>
  <printOptions horizontalCentered="1" verticalCentered="1"/>
  <pageMargins left="0.25" right="0.25" top="0.75" bottom="0.75" header="0" footer="0"/>
  <pageSetup orientation="landscape" paperSize="9"/>
  <drawing xmlns:r="http://schemas.openxmlformats.org/officeDocument/2006/relationships" r:id="rId36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0.89" customWidth="1" style="317" min="1" max="1"/>
    <col width="39.89" customWidth="1" style="317" min="2" max="2"/>
    <col width="5.44" customWidth="1" style="317" min="3" max="3"/>
    <col width="12.56" customWidth="1" style="317" min="4" max="4"/>
    <col width="16.11" customWidth="1" style="317" min="5" max="5"/>
    <col width="12.89" customWidth="1" style="317" min="6" max="6"/>
    <col width="13.56" customWidth="1" style="317" min="7" max="8"/>
    <col width="13.44" customWidth="1" style="317" min="9" max="9"/>
    <col width="13.89" customWidth="1" style="317" min="10" max="10"/>
    <col width="27.11" customWidth="1" style="317" min="11" max="11"/>
    <col width="21" customWidth="1" style="317" min="12" max="12"/>
    <col width="32.44" customWidth="1" style="317" min="13" max="13"/>
    <col width="15.11" customWidth="1" style="317" min="14" max="14"/>
    <col width="27" customWidth="1" style="317" min="15" max="15"/>
    <col width="52" customWidth="1" style="317" min="16" max="16"/>
    <col width="10.89" customWidth="1" style="317" min="17" max="26"/>
  </cols>
  <sheetData>
    <row r="1" ht="81" customHeight="1" s="31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327" t="n"/>
      <c r="C2" s="328" t="n"/>
      <c r="D2" s="328" t="n"/>
      <c r="E2" s="328" t="n"/>
      <c r="F2" s="328" t="n"/>
      <c r="G2" s="328" t="n"/>
      <c r="H2" s="328" t="n"/>
      <c r="I2" s="328" t="n"/>
      <c r="J2" s="328" t="n"/>
      <c r="K2" s="328" t="n"/>
      <c r="L2" s="328" t="n"/>
      <c r="M2" s="328" t="n"/>
      <c r="N2" s="328" t="n"/>
      <c r="O2" s="328" t="n"/>
      <c r="P2" s="328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2" t="n"/>
      <c r="C3" s="2" t="n"/>
      <c r="D3" s="2" t="n"/>
      <c r="E3" s="2" t="n"/>
      <c r="F3" s="2" t="n"/>
      <c r="G3" s="2" t="n"/>
      <c r="H3" s="48" t="n"/>
      <c r="I3" s="48" t="n"/>
      <c r="J3" s="48" t="n"/>
      <c r="K3" s="48" t="n"/>
      <c r="L3" s="48" t="n"/>
      <c r="M3" s="48" t="n"/>
      <c r="N3" s="48" t="n"/>
      <c r="O3" s="2" t="n"/>
      <c r="P3" s="2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3" t="n"/>
      <c r="C4" s="4" t="n"/>
      <c r="D4" s="5" t="n"/>
      <c r="E4" s="5" t="n"/>
      <c r="F4" s="5" t="n"/>
      <c r="G4" s="5" t="n"/>
      <c r="H4" s="49" t="n"/>
      <c r="I4" s="50" t="n"/>
      <c r="J4" s="51" t="n"/>
      <c r="K4" s="51" t="n"/>
      <c r="L4" s="50" t="n"/>
      <c r="M4" s="52" t="n"/>
      <c r="N4" s="52" t="n"/>
      <c r="O4" s="10" t="n"/>
      <c r="P4" s="9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3" t="n"/>
      <c r="C5" s="4" t="n"/>
      <c r="D5" s="5" t="n"/>
      <c r="E5" s="5" t="n"/>
      <c r="F5" s="5" t="n"/>
      <c r="G5" s="5" t="n"/>
      <c r="H5" s="49" t="n"/>
      <c r="I5" s="50" t="n"/>
      <c r="J5" s="51" t="n"/>
      <c r="K5" s="51" t="n"/>
      <c r="L5" s="50" t="n"/>
      <c r="M5" s="53" t="n"/>
      <c r="N5" s="52" t="n"/>
      <c r="O5" s="10" t="n"/>
      <c r="P5" s="9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3" t="n"/>
      <c r="C6" s="4" t="n"/>
      <c r="D6" s="5" t="n"/>
      <c r="E6" s="5" t="n"/>
      <c r="F6" s="5" t="n"/>
      <c r="G6" s="5" t="n"/>
      <c r="H6" s="49" t="n"/>
      <c r="I6" s="50" t="n"/>
      <c r="J6" s="51" t="n"/>
      <c r="K6" s="51" t="n"/>
      <c r="L6" s="50" t="n"/>
      <c r="M6" s="52" t="n"/>
      <c r="N6" s="52" t="n"/>
      <c r="O6" s="10" t="n"/>
      <c r="P6" s="3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/>
      <c r="B7" s="3" t="n"/>
      <c r="C7" s="4" t="n"/>
      <c r="D7" s="5" t="n"/>
      <c r="E7" s="5" t="n"/>
      <c r="F7" s="5" t="n"/>
      <c r="G7" s="5" t="n"/>
      <c r="H7" s="49" t="n"/>
      <c r="I7" s="50" t="n"/>
      <c r="J7" s="51" t="n"/>
      <c r="K7" s="51" t="n"/>
      <c r="L7" s="50" t="n"/>
      <c r="M7" s="52" t="n"/>
      <c r="N7" s="52" t="n"/>
      <c r="O7" s="8" t="n"/>
      <c r="P7" s="9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3" t="n"/>
      <c r="C8" s="4" t="n"/>
      <c r="D8" s="5" t="n"/>
      <c r="E8" s="5" t="n"/>
      <c r="F8" s="5" t="n"/>
      <c r="G8" s="5" t="n"/>
      <c r="H8" s="49" t="n"/>
      <c r="I8" s="50" t="n"/>
      <c r="J8" s="51" t="n"/>
      <c r="K8" s="51" t="n"/>
      <c r="L8" s="50" t="n"/>
      <c r="M8" s="52" t="n"/>
      <c r="N8" s="52" t="n"/>
      <c r="O8" s="8" t="n"/>
      <c r="P8" s="9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3" t="n"/>
      <c r="C9" s="4" t="n"/>
      <c r="D9" s="5" t="n"/>
      <c r="E9" s="5" t="n"/>
      <c r="F9" s="5" t="n"/>
      <c r="G9" s="5" t="n"/>
      <c r="H9" s="49" t="n"/>
      <c r="I9" s="50" t="n"/>
      <c r="J9" s="51" t="n"/>
      <c r="K9" s="51" t="n"/>
      <c r="L9" s="50" t="n"/>
      <c r="M9" s="52" t="n"/>
      <c r="N9" s="52" t="n"/>
      <c r="O9" s="3" t="n"/>
      <c r="P9" s="9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3" t="n"/>
      <c r="C10" s="4" t="n"/>
      <c r="D10" s="5" t="n"/>
      <c r="E10" s="5" t="n"/>
      <c r="F10" s="5" t="n"/>
      <c r="G10" s="5" t="n"/>
      <c r="H10" s="49" t="n"/>
      <c r="I10" s="50" t="n"/>
      <c r="J10" s="51" t="n"/>
      <c r="K10" s="51" t="n"/>
      <c r="L10" s="50" t="n"/>
      <c r="M10" s="52" t="n"/>
      <c r="N10" s="52" t="n"/>
      <c r="O10" s="3" t="n"/>
      <c r="P10" s="3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3" t="n"/>
      <c r="C11" s="4" t="n"/>
      <c r="D11" s="5" t="n"/>
      <c r="E11" s="5" t="n"/>
      <c r="F11" s="5" t="n"/>
      <c r="G11" s="5" t="n"/>
      <c r="H11" s="49" t="n"/>
      <c r="I11" s="50" t="n"/>
      <c r="J11" s="51" t="n"/>
      <c r="K11" s="51" t="n"/>
      <c r="L11" s="50" t="n"/>
      <c r="M11" s="54" t="n"/>
      <c r="N11" s="52" t="n"/>
      <c r="O11" s="8" t="n"/>
      <c r="P11" s="3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3" t="n"/>
      <c r="C12" s="4" t="n"/>
      <c r="D12" s="5" t="n"/>
      <c r="E12" s="5" t="n"/>
      <c r="F12" s="5" t="n"/>
      <c r="G12" s="5" t="n"/>
      <c r="H12" s="49" t="n"/>
      <c r="I12" s="50" t="n"/>
      <c r="J12" s="51" t="n"/>
      <c r="K12" s="51" t="n"/>
      <c r="L12" s="50" t="n"/>
      <c r="M12" s="54" t="n"/>
      <c r="N12" s="52" t="n"/>
      <c r="O12" s="8" t="n"/>
      <c r="P12" s="3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3" t="n"/>
      <c r="C13" s="4" t="n"/>
      <c r="D13" s="5" t="n"/>
      <c r="E13" s="5" t="n"/>
      <c r="F13" s="5" t="n"/>
      <c r="G13" s="5" t="n"/>
      <c r="H13" s="49" t="n"/>
      <c r="I13" s="50" t="n"/>
      <c r="J13" s="51" t="n"/>
      <c r="K13" s="51" t="n"/>
      <c r="L13" s="50" t="n"/>
      <c r="M13" s="54" t="n"/>
      <c r="N13" s="52" t="n"/>
      <c r="O13" s="8" t="n"/>
      <c r="P13" s="3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3" t="n"/>
      <c r="C14" s="4" t="n"/>
      <c r="D14" s="5" t="n"/>
      <c r="E14" s="5" t="n"/>
      <c r="F14" s="5" t="n"/>
      <c r="G14" s="5" t="n"/>
      <c r="H14" s="49" t="n"/>
      <c r="I14" s="50" t="n"/>
      <c r="J14" s="51" t="n"/>
      <c r="K14" s="51" t="n"/>
      <c r="L14" s="50" t="n"/>
      <c r="M14" s="55" t="n"/>
      <c r="N14" s="52" t="n"/>
      <c r="O14" s="3" t="n"/>
      <c r="P14" s="9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3" t="n"/>
      <c r="C15" s="4" t="n"/>
      <c r="D15" s="5" t="n"/>
      <c r="E15" s="5" t="n"/>
      <c r="F15" s="5" t="n"/>
      <c r="G15" s="5" t="n"/>
      <c r="H15" s="49" t="n"/>
      <c r="I15" s="50" t="n"/>
      <c r="J15" s="51" t="n"/>
      <c r="K15" s="51" t="n"/>
      <c r="L15" s="50" t="n"/>
      <c r="M15" s="55" t="n"/>
      <c r="N15" s="52" t="n"/>
      <c r="O15" s="3" t="n"/>
      <c r="P15" s="9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3" t="n"/>
      <c r="C16" s="4" t="n"/>
      <c r="D16" s="5" t="n"/>
      <c r="E16" s="5" t="n"/>
      <c r="F16" s="5" t="n"/>
      <c r="G16" s="5" t="n"/>
      <c r="H16" s="49" t="n"/>
      <c r="I16" s="50" t="n"/>
      <c r="J16" s="51" t="n"/>
      <c r="K16" s="51" t="n"/>
      <c r="L16" s="50" t="n"/>
      <c r="M16" s="53" t="n"/>
      <c r="N16" s="52" t="n"/>
      <c r="O16" s="10" t="n"/>
      <c r="P16" s="9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3" t="n"/>
      <c r="C17" s="4" t="n"/>
      <c r="D17" s="5" t="n"/>
      <c r="E17" s="5" t="n"/>
      <c r="F17" s="5" t="n"/>
      <c r="G17" s="5" t="n"/>
      <c r="H17" s="49" t="n"/>
      <c r="I17" s="50" t="n"/>
      <c r="J17" s="51" t="n"/>
      <c r="K17" s="51" t="n"/>
      <c r="L17" s="50" t="n"/>
      <c r="M17" s="55" t="n"/>
      <c r="N17" s="52" t="n"/>
      <c r="O17" s="3" t="n"/>
      <c r="P17" s="9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3" t="n"/>
      <c r="C18" s="4" t="n"/>
      <c r="D18" s="5" t="n"/>
      <c r="E18" s="5" t="n"/>
      <c r="F18" s="5" t="n"/>
      <c r="G18" s="5" t="n"/>
      <c r="H18" s="49" t="n"/>
      <c r="I18" s="50" t="n"/>
      <c r="J18" s="51" t="n"/>
      <c r="K18" s="51" t="n"/>
      <c r="L18" s="50" t="n"/>
      <c r="M18" s="54" t="n"/>
      <c r="N18" s="52" t="n"/>
      <c r="O18" s="8" t="n"/>
      <c r="P18" s="3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3" t="n"/>
      <c r="C19" s="4" t="n"/>
      <c r="D19" s="5" t="n"/>
      <c r="E19" s="5" t="n"/>
      <c r="F19" s="5" t="n"/>
      <c r="G19" s="5" t="n"/>
      <c r="H19" s="49" t="n"/>
      <c r="I19" s="50" t="n"/>
      <c r="J19" s="51" t="n"/>
      <c r="K19" s="51" t="n"/>
      <c r="L19" s="50" t="n"/>
      <c r="M19" s="54" t="n"/>
      <c r="N19" s="52" t="n"/>
      <c r="O19" s="8" t="n"/>
      <c r="P19" s="9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3" t="n"/>
      <c r="C20" s="4" t="n"/>
      <c r="D20" s="5" t="n"/>
      <c r="E20" s="5" t="n"/>
      <c r="F20" s="5" t="n"/>
      <c r="G20" s="5" t="n"/>
      <c r="H20" s="49" t="n"/>
      <c r="I20" s="50" t="n"/>
      <c r="J20" s="51" t="n"/>
      <c r="K20" s="51" t="n"/>
      <c r="L20" s="50" t="n"/>
      <c r="M20" s="54" t="n"/>
      <c r="N20" s="52" t="n"/>
      <c r="O20" s="8" t="n"/>
      <c r="P20" s="9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3" t="n"/>
      <c r="C21" s="4" t="n"/>
      <c r="D21" s="5" t="n"/>
      <c r="E21" s="5" t="n"/>
      <c r="F21" s="5" t="n"/>
      <c r="G21" s="5" t="n"/>
      <c r="H21" s="49" t="n"/>
      <c r="I21" s="50" t="n"/>
      <c r="J21" s="51" t="n"/>
      <c r="K21" s="51" t="n"/>
      <c r="L21" s="50" t="n"/>
      <c r="M21" s="54" t="n"/>
      <c r="N21" s="52" t="n"/>
      <c r="O21" s="8" t="n"/>
      <c r="P21" s="3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3" t="n"/>
      <c r="C22" s="4" t="n"/>
      <c r="D22" s="5" t="n"/>
      <c r="E22" s="5" t="n"/>
      <c r="F22" s="5" t="n"/>
      <c r="G22" s="5" t="n"/>
      <c r="H22" s="49" t="n"/>
      <c r="I22" s="50" t="n"/>
      <c r="J22" s="51" t="n"/>
      <c r="K22" s="51" t="n"/>
      <c r="L22" s="50" t="n"/>
      <c r="M22" s="54" t="n"/>
      <c r="N22" s="52" t="n"/>
      <c r="O22" s="8" t="n"/>
      <c r="P22" s="3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3" t="n"/>
      <c r="C23" s="4" t="n"/>
      <c r="D23" s="5" t="n"/>
      <c r="E23" s="5" t="n"/>
      <c r="F23" s="5" t="n"/>
      <c r="G23" s="5" t="n"/>
      <c r="H23" s="49" t="n"/>
      <c r="I23" s="50" t="n"/>
      <c r="J23" s="51" t="n"/>
      <c r="K23" s="51" t="n"/>
      <c r="L23" s="50" t="n"/>
      <c r="M23" s="54" t="n"/>
      <c r="N23" s="52" t="n"/>
      <c r="O23" s="8" t="n"/>
      <c r="P23" s="3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9" t="n"/>
      <c r="C24" s="4" t="n"/>
      <c r="D24" s="5" t="n"/>
      <c r="E24" s="5" t="n"/>
      <c r="F24" s="5" t="n"/>
      <c r="G24" s="5" t="n"/>
      <c r="H24" s="49" t="n"/>
      <c r="I24" s="50" t="n"/>
      <c r="J24" s="51" t="n"/>
      <c r="K24" s="51" t="n"/>
      <c r="L24" s="50" t="n"/>
      <c r="M24" s="52" t="n"/>
      <c r="N24" s="52" t="n"/>
      <c r="O24" s="8" t="n"/>
      <c r="P24" s="3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9" t="n"/>
      <c r="C25" s="4" t="n"/>
      <c r="D25" s="5" t="n"/>
      <c r="E25" s="5" t="n"/>
      <c r="F25" s="5" t="n"/>
      <c r="G25" s="5" t="n"/>
      <c r="H25" s="49" t="n"/>
      <c r="I25" s="50" t="n"/>
      <c r="J25" s="51" t="n"/>
      <c r="K25" s="51" t="n"/>
      <c r="L25" s="50" t="n"/>
      <c r="M25" s="52" t="n"/>
      <c r="N25" s="52" t="n"/>
      <c r="O25" s="8" t="n"/>
      <c r="P25" s="3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9" t="n"/>
      <c r="C26" s="4" t="n"/>
      <c r="D26" s="5" t="n"/>
      <c r="E26" s="5" t="n"/>
      <c r="F26" s="5" t="n"/>
      <c r="G26" s="5" t="n"/>
      <c r="H26" s="49" t="n"/>
      <c r="I26" s="50" t="n"/>
      <c r="J26" s="51" t="n"/>
      <c r="K26" s="51" t="n"/>
      <c r="L26" s="50" t="n"/>
      <c r="M26" s="54" t="n"/>
      <c r="N26" s="52" t="n"/>
      <c r="O26" s="8" t="n"/>
      <c r="P26" s="3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9" t="n"/>
      <c r="C27" s="4" t="n"/>
      <c r="D27" s="5" t="n"/>
      <c r="E27" s="5" t="n"/>
      <c r="F27" s="5" t="n"/>
      <c r="G27" s="5" t="n"/>
      <c r="H27" s="49" t="n"/>
      <c r="I27" s="50" t="n"/>
      <c r="J27" s="51" t="n"/>
      <c r="K27" s="51" t="n"/>
      <c r="L27" s="50" t="n"/>
      <c r="M27" s="52" t="n"/>
      <c r="N27" s="52" t="n"/>
      <c r="O27" s="8" t="n"/>
      <c r="P27" s="9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9" t="n"/>
      <c r="C28" s="4" t="n"/>
      <c r="D28" s="5" t="n"/>
      <c r="E28" s="5" t="n"/>
      <c r="F28" s="5" t="n"/>
      <c r="G28" s="5" t="n"/>
      <c r="H28" s="49" t="n"/>
      <c r="I28" s="50" t="n"/>
      <c r="J28" s="51" t="n"/>
      <c r="K28" s="51" t="n"/>
      <c r="L28" s="50" t="n"/>
      <c r="M28" s="52" t="n"/>
      <c r="N28" s="52" t="n"/>
      <c r="O28" s="8" t="n"/>
      <c r="P28" s="3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9" t="n"/>
      <c r="C29" s="4" t="n"/>
      <c r="D29" s="5" t="n"/>
      <c r="E29" s="5" t="n"/>
      <c r="F29" s="5" t="n"/>
      <c r="G29" s="5" t="n"/>
      <c r="H29" s="49" t="n"/>
      <c r="I29" s="50" t="n"/>
      <c r="J29" s="51" t="n"/>
      <c r="K29" s="51" t="n"/>
      <c r="L29" s="50" t="n"/>
      <c r="M29" s="52" t="n"/>
      <c r="N29" s="52" t="n"/>
      <c r="O29" s="8" t="n"/>
      <c r="P29" s="3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3" t="n"/>
      <c r="C30" s="4" t="n"/>
      <c r="D30" s="5" t="n"/>
      <c r="E30" s="5" t="n"/>
      <c r="F30" s="5" t="n"/>
      <c r="G30" s="5" t="n"/>
      <c r="H30" s="49" t="n"/>
      <c r="I30" s="50" t="n"/>
      <c r="J30" s="51" t="n"/>
      <c r="K30" s="51" t="n"/>
      <c r="L30" s="50" t="n"/>
      <c r="M30" s="54" t="n"/>
      <c r="N30" s="52" t="n"/>
      <c r="O30" s="8" t="n"/>
      <c r="P30" s="9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3" t="n"/>
      <c r="C31" s="4" t="n"/>
      <c r="D31" s="5" t="n"/>
      <c r="E31" s="5" t="n"/>
      <c r="F31" s="5" t="n"/>
      <c r="G31" s="5" t="n"/>
      <c r="H31" s="49" t="n"/>
      <c r="I31" s="50" t="n"/>
      <c r="J31" s="51" t="n"/>
      <c r="K31" s="51" t="n"/>
      <c r="L31" s="50" t="n"/>
      <c r="M31" s="52" t="n"/>
      <c r="N31" s="52" t="n"/>
      <c r="O31" s="8" t="n"/>
      <c r="P31" s="3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3" t="n"/>
      <c r="C32" s="4" t="n"/>
      <c r="D32" s="5" t="n"/>
      <c r="E32" s="5" t="n"/>
      <c r="F32" s="5" t="n"/>
      <c r="G32" s="5" t="n"/>
      <c r="H32" s="49" t="n"/>
      <c r="I32" s="50" t="n"/>
      <c r="J32" s="51" t="n"/>
      <c r="K32" s="51" t="n"/>
      <c r="L32" s="50" t="n"/>
      <c r="M32" s="52" t="n"/>
      <c r="N32" s="52" t="n"/>
      <c r="O32" s="8" t="n"/>
      <c r="P32" s="3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3" t="n"/>
      <c r="C33" s="4" t="n"/>
      <c r="D33" s="5" t="n"/>
      <c r="E33" s="5" t="n"/>
      <c r="F33" s="5" t="n"/>
      <c r="G33" s="5" t="n"/>
      <c r="H33" s="49" t="n"/>
      <c r="I33" s="50" t="n"/>
      <c r="J33" s="51" t="n"/>
      <c r="K33" s="51" t="n"/>
      <c r="L33" s="50" t="n"/>
      <c r="M33" s="53" t="n"/>
      <c r="N33" s="52" t="n"/>
      <c r="O33" s="8" t="n"/>
      <c r="P33" s="3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3" t="n"/>
      <c r="C34" s="4" t="n"/>
      <c r="D34" s="5" t="n"/>
      <c r="E34" s="5" t="n"/>
      <c r="F34" s="5" t="n"/>
      <c r="G34" s="5" t="n"/>
      <c r="H34" s="49" t="n"/>
      <c r="I34" s="50" t="n"/>
      <c r="J34" s="51" t="n"/>
      <c r="K34" s="51" t="n"/>
      <c r="L34" s="50" t="n"/>
      <c r="M34" s="52" t="n"/>
      <c r="N34" s="52" t="n"/>
      <c r="O34" s="8" t="n"/>
      <c r="P34" s="3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3" t="n"/>
      <c r="C35" s="4" t="n"/>
      <c r="D35" s="5" t="n"/>
      <c r="E35" s="5" t="n"/>
      <c r="F35" s="5" t="n"/>
      <c r="G35" s="5" t="n"/>
      <c r="H35" s="49" t="n"/>
      <c r="I35" s="50" t="n"/>
      <c r="J35" s="51" t="n"/>
      <c r="K35" s="51" t="n"/>
      <c r="L35" s="50" t="n"/>
      <c r="M35" s="52" t="n"/>
      <c r="N35" s="52" t="n"/>
      <c r="O35" s="8" t="n"/>
      <c r="P35" s="3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9" t="n"/>
      <c r="C36" s="4" t="n"/>
      <c r="D36" s="5" t="n"/>
      <c r="E36" s="5" t="n"/>
      <c r="F36" s="5" t="n"/>
      <c r="G36" s="5" t="n"/>
      <c r="H36" s="49" t="n"/>
      <c r="I36" s="50" t="n"/>
      <c r="J36" s="51" t="n"/>
      <c r="K36" s="51" t="n"/>
      <c r="L36" s="50" t="n"/>
      <c r="M36" s="52" t="n"/>
      <c r="N36" s="52" t="n"/>
      <c r="O36" s="8" t="n"/>
      <c r="P36" s="3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3" t="n"/>
      <c r="C37" s="4" t="n"/>
      <c r="D37" s="5" t="n"/>
      <c r="E37" s="5" t="n"/>
      <c r="F37" s="5" t="n"/>
      <c r="G37" s="5" t="n"/>
      <c r="H37" s="49" t="n"/>
      <c r="I37" s="50" t="n"/>
      <c r="J37" s="51" t="n"/>
      <c r="K37" s="51" t="n"/>
      <c r="L37" s="50" t="n"/>
      <c r="M37" s="52" t="n"/>
      <c r="N37" s="52" t="n"/>
      <c r="O37" s="8" t="n"/>
      <c r="P37" s="3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3" t="n"/>
      <c r="C38" s="4" t="n"/>
      <c r="D38" s="5" t="n"/>
      <c r="E38" s="5" t="n"/>
      <c r="F38" s="5" t="n"/>
      <c r="G38" s="5" t="n"/>
      <c r="H38" s="49" t="n"/>
      <c r="I38" s="50" t="n"/>
      <c r="J38" s="51" t="n"/>
      <c r="K38" s="51" t="n"/>
      <c r="L38" s="50" t="n"/>
      <c r="M38" s="52" t="n"/>
      <c r="N38" s="52" t="n"/>
      <c r="O38" s="8" t="n"/>
      <c r="P38" s="3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3" t="n"/>
      <c r="C39" s="4" t="n"/>
      <c r="D39" s="5" t="n"/>
      <c r="E39" s="5" t="n"/>
      <c r="F39" s="5" t="n"/>
      <c r="G39" s="5" t="n"/>
      <c r="H39" s="49" t="n"/>
      <c r="I39" s="50" t="n"/>
      <c r="J39" s="51" t="n"/>
      <c r="K39" s="56" t="n"/>
      <c r="L39" s="50" t="n"/>
      <c r="M39" s="52" t="n"/>
      <c r="N39" s="52" t="n"/>
      <c r="O39" s="8" t="n"/>
      <c r="P39" s="3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3" t="n"/>
      <c r="C40" s="4" t="n"/>
      <c r="D40" s="5" t="n"/>
      <c r="E40" s="5" t="n"/>
      <c r="F40" s="5" t="n"/>
      <c r="G40" s="5" t="n"/>
      <c r="H40" s="49" t="n"/>
      <c r="I40" s="50" t="n"/>
      <c r="J40" s="51" t="n"/>
      <c r="K40" s="51" t="n"/>
      <c r="L40" s="50" t="n"/>
      <c r="M40" s="53" t="n"/>
      <c r="N40" s="52" t="n"/>
      <c r="O40" s="8" t="n"/>
      <c r="P40" s="3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3" t="n"/>
      <c r="C41" s="4" t="n"/>
      <c r="D41" s="5" t="n"/>
      <c r="E41" s="5" t="n"/>
      <c r="F41" s="5" t="n"/>
      <c r="G41" s="5" t="n"/>
      <c r="H41" s="49" t="n"/>
      <c r="I41" s="50" t="n"/>
      <c r="J41" s="51" t="n"/>
      <c r="K41" s="51" t="n"/>
      <c r="L41" s="50" t="n"/>
      <c r="M41" s="52" t="n"/>
      <c r="N41" s="52" t="n"/>
      <c r="O41" s="8" t="n"/>
      <c r="P41" s="3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3" t="n"/>
      <c r="C42" s="4" t="n"/>
      <c r="D42" s="5" t="n"/>
      <c r="E42" s="5" t="n"/>
      <c r="F42" s="5" t="n"/>
      <c r="G42" s="5" t="n"/>
      <c r="H42" s="49" t="n"/>
      <c r="I42" s="50" t="n"/>
      <c r="J42" s="51" t="n"/>
      <c r="K42" s="51" t="n"/>
      <c r="L42" s="50" t="n"/>
      <c r="M42" s="52" t="n"/>
      <c r="N42" s="52" t="n"/>
      <c r="O42" s="8" t="n"/>
      <c r="P42" s="3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3" t="n"/>
      <c r="C43" s="4" t="n"/>
      <c r="D43" s="5" t="n"/>
      <c r="E43" s="5" t="n"/>
      <c r="F43" s="5" t="n"/>
      <c r="G43" s="5" t="n"/>
      <c r="H43" s="49" t="n"/>
      <c r="I43" s="50" t="n"/>
      <c r="J43" s="51" t="n"/>
      <c r="K43" s="51" t="n"/>
      <c r="L43" s="50" t="n"/>
      <c r="M43" s="52" t="n"/>
      <c r="N43" s="52" t="n"/>
      <c r="O43" s="8" t="n"/>
      <c r="P43" s="3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3" t="n"/>
      <c r="C44" s="4" t="n"/>
      <c r="D44" s="5" t="n"/>
      <c r="E44" s="5" t="n"/>
      <c r="F44" s="5" t="n"/>
      <c r="G44" s="5" t="n"/>
      <c r="H44" s="49" t="n"/>
      <c r="I44" s="50" t="n"/>
      <c r="J44" s="51" t="n"/>
      <c r="K44" s="56" t="n"/>
      <c r="L44" s="50" t="n"/>
      <c r="M44" s="52" t="n"/>
      <c r="N44" s="52" t="n"/>
      <c r="O44" s="8" t="n"/>
      <c r="P44" s="3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3" t="n"/>
      <c r="C45" s="4" t="n"/>
      <c r="D45" s="5" t="n"/>
      <c r="E45" s="5" t="n"/>
      <c r="F45" s="5" t="n"/>
      <c r="G45" s="5" t="n"/>
      <c r="H45" s="49" t="n"/>
      <c r="I45" s="50" t="n"/>
      <c r="J45" s="50" t="n"/>
      <c r="K45" s="50" t="n"/>
      <c r="L45" s="50" t="n"/>
      <c r="M45" s="336" t="n"/>
      <c r="N45" s="50" t="n"/>
      <c r="O45" s="7" t="n"/>
      <c r="P45" s="7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3" t="n"/>
      <c r="C46" s="4" t="n"/>
      <c r="D46" s="5" t="n"/>
      <c r="E46" s="5" t="n"/>
      <c r="F46" s="5" t="n"/>
      <c r="G46" s="5" t="n"/>
      <c r="H46" s="320" t="n"/>
      <c r="I46" s="320" t="n"/>
      <c r="J46" s="320" t="n"/>
      <c r="K46" s="320" t="n"/>
      <c r="L46" s="320" t="n"/>
      <c r="M46" s="320" t="n"/>
      <c r="N46" s="320" t="n"/>
      <c r="O46" s="320" t="n"/>
      <c r="P46" s="32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3" t="n"/>
      <c r="C47" s="4" t="n"/>
      <c r="D47" s="5" t="n"/>
      <c r="E47" s="5" t="n"/>
      <c r="F47" s="5" t="n"/>
      <c r="G47" s="5" t="n"/>
      <c r="H47" s="49" t="n"/>
      <c r="I47" s="50" t="n"/>
      <c r="J47" s="51" t="n"/>
      <c r="K47" s="51" t="n"/>
      <c r="L47" s="50" t="n"/>
      <c r="M47" s="52" t="n"/>
      <c r="N47" s="52" t="n"/>
      <c r="O47" s="8" t="n"/>
      <c r="P47" s="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3" t="n"/>
      <c r="C48" s="4" t="n"/>
      <c r="D48" s="5" t="n"/>
      <c r="E48" s="5" t="n"/>
      <c r="F48" s="5" t="n"/>
      <c r="G48" s="5" t="n"/>
      <c r="H48" s="49" t="n"/>
      <c r="I48" s="50" t="n"/>
      <c r="J48" s="50" t="n"/>
      <c r="K48" s="50" t="n"/>
      <c r="L48" s="50" t="n"/>
      <c r="M48" s="336" t="n"/>
      <c r="N48" s="50" t="n"/>
      <c r="O48" s="7" t="n"/>
      <c r="P48" s="7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3" t="n"/>
      <c r="C49" s="4" t="n"/>
      <c r="D49" s="5" t="n"/>
      <c r="E49" s="5" t="n"/>
      <c r="F49" s="5" t="n"/>
      <c r="G49" s="5" t="n"/>
      <c r="H49" s="320" t="n"/>
      <c r="I49" s="320" t="n"/>
      <c r="J49" s="320" t="n"/>
      <c r="K49" s="320" t="n"/>
      <c r="L49" s="320" t="n"/>
      <c r="M49" s="320" t="n"/>
      <c r="N49" s="320" t="n"/>
      <c r="O49" s="320" t="n"/>
      <c r="P49" s="320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3" t="n"/>
      <c r="C50" s="4" t="n"/>
      <c r="D50" s="5" t="n"/>
      <c r="E50" s="5" t="n"/>
      <c r="F50" s="5" t="n"/>
      <c r="G50" s="5" t="n"/>
      <c r="H50" s="49" t="n"/>
      <c r="I50" s="50" t="n"/>
      <c r="J50" s="51" t="n"/>
      <c r="K50" s="51" t="n"/>
      <c r="L50" s="50" t="n"/>
      <c r="M50" s="53" t="n"/>
      <c r="N50" s="52" t="n"/>
      <c r="O50" s="8" t="n"/>
      <c r="P50" s="3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3" t="n"/>
      <c r="C51" s="4" t="n"/>
      <c r="D51" s="5" t="n"/>
      <c r="E51" s="5" t="n"/>
      <c r="F51" s="5" t="n"/>
      <c r="G51" s="5" t="n"/>
      <c r="H51" s="49" t="n"/>
      <c r="I51" s="50" t="n"/>
      <c r="J51" s="51" t="n"/>
      <c r="K51" s="51" t="n"/>
      <c r="L51" s="50" t="n"/>
      <c r="M51" s="52" t="n"/>
      <c r="N51" s="52" t="n"/>
      <c r="O51" s="8" t="n"/>
      <c r="P51" s="3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3" t="n"/>
      <c r="C52" s="4" t="n"/>
      <c r="D52" s="5" t="n"/>
      <c r="E52" s="5" t="n"/>
      <c r="F52" s="5" t="n"/>
      <c r="G52" s="5" t="n"/>
      <c r="H52" s="49" t="n"/>
      <c r="I52" s="50" t="n"/>
      <c r="J52" s="51" t="n"/>
      <c r="K52" s="51" t="n"/>
      <c r="L52" s="50" t="n"/>
      <c r="M52" s="52" t="n"/>
      <c r="N52" s="52" t="n"/>
      <c r="O52" s="8" t="n"/>
      <c r="P52" s="3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3" t="n"/>
      <c r="C53" s="4" t="n"/>
      <c r="D53" s="5" t="n"/>
      <c r="E53" s="5" t="n"/>
      <c r="F53" s="5" t="n"/>
      <c r="G53" s="5" t="n"/>
      <c r="H53" s="49" t="n"/>
      <c r="I53" s="50" t="n"/>
      <c r="J53" s="51" t="n"/>
      <c r="K53" s="51" t="n"/>
      <c r="L53" s="50" t="n"/>
      <c r="M53" s="52" t="n"/>
      <c r="N53" s="52" t="n"/>
      <c r="O53" s="8" t="n"/>
      <c r="P53" s="3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3" t="n"/>
      <c r="C54" s="4" t="n"/>
      <c r="D54" s="5" t="n"/>
      <c r="E54" s="5" t="n"/>
      <c r="F54" s="5" t="n"/>
      <c r="G54" s="5" t="n"/>
      <c r="H54" s="49" t="n"/>
      <c r="I54" s="50" t="n"/>
      <c r="J54" s="51" t="n"/>
      <c r="K54" s="51" t="n"/>
      <c r="L54" s="50" t="n"/>
      <c r="M54" s="52" t="n"/>
      <c r="N54" s="52" t="n"/>
      <c r="O54" s="8" t="n"/>
      <c r="P54" s="3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3" t="n"/>
      <c r="C55" s="4" t="n"/>
      <c r="D55" s="5" t="n"/>
      <c r="E55" s="5" t="n"/>
      <c r="F55" s="5" t="n"/>
      <c r="G55" s="5" t="n"/>
      <c r="H55" s="49" t="n"/>
      <c r="I55" s="50" t="n"/>
      <c r="J55" s="51" t="n"/>
      <c r="K55" s="51" t="n"/>
      <c r="L55" s="50" t="n"/>
      <c r="M55" s="52" t="n"/>
      <c r="N55" s="52" t="n"/>
      <c r="O55" s="8" t="n"/>
      <c r="P55" s="3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3" t="n"/>
      <c r="C56" s="4" t="n"/>
      <c r="D56" s="5" t="n"/>
      <c r="E56" s="5" t="n"/>
      <c r="F56" s="5" t="n"/>
      <c r="G56" s="5" t="n"/>
      <c r="H56" s="49" t="n"/>
      <c r="I56" s="50" t="n"/>
      <c r="J56" s="50" t="n"/>
      <c r="K56" s="50" t="n"/>
      <c r="L56" s="50" t="n"/>
      <c r="M56" s="336" t="n"/>
      <c r="N56" s="50" t="n"/>
      <c r="O56" s="7" t="n"/>
      <c r="P56" s="7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3" t="n"/>
      <c r="C57" s="4" t="n"/>
      <c r="D57" s="5" t="n"/>
      <c r="E57" s="5" t="n"/>
      <c r="F57" s="5" t="n"/>
      <c r="G57" s="5" t="n"/>
      <c r="H57" s="320" t="n"/>
      <c r="I57" s="320" t="n"/>
      <c r="J57" s="320" t="n"/>
      <c r="K57" s="320" t="n"/>
      <c r="L57" s="320" t="n"/>
      <c r="M57" s="320" t="n"/>
      <c r="N57" s="320" t="n"/>
      <c r="O57" s="320" t="n"/>
      <c r="P57" s="320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3" t="n"/>
      <c r="C58" s="4" t="n"/>
      <c r="D58" s="5" t="n"/>
      <c r="E58" s="5" t="n"/>
      <c r="F58" s="5" t="n"/>
      <c r="G58" s="5" t="n"/>
      <c r="H58" s="49" t="n"/>
      <c r="I58" s="50" t="n"/>
      <c r="J58" s="50" t="n"/>
      <c r="K58" s="50" t="n"/>
      <c r="L58" s="50" t="n"/>
      <c r="M58" s="336" t="n"/>
      <c r="N58" s="50" t="n"/>
      <c r="O58" s="7" t="n"/>
      <c r="P58" s="7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3" t="n"/>
      <c r="C59" s="4" t="n"/>
      <c r="D59" s="5" t="n"/>
      <c r="E59" s="5" t="n"/>
      <c r="F59" s="5" t="n"/>
      <c r="G59" s="5" t="n"/>
      <c r="H59" s="320" t="n"/>
      <c r="I59" s="320" t="n"/>
      <c r="J59" s="320" t="n"/>
      <c r="K59" s="320" t="n"/>
      <c r="L59" s="320" t="n"/>
      <c r="M59" s="320" t="n"/>
      <c r="N59" s="320" t="n"/>
      <c r="O59" s="320" t="n"/>
      <c r="P59" s="320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3" t="n"/>
      <c r="C60" s="4" t="n"/>
      <c r="D60" s="5" t="n"/>
      <c r="E60" s="5" t="n"/>
      <c r="F60" s="5" t="n"/>
      <c r="G60" s="5" t="n"/>
      <c r="H60" s="49" t="n"/>
      <c r="I60" s="50" t="n"/>
      <c r="J60" s="51" t="n"/>
      <c r="K60" s="51" t="n"/>
      <c r="L60" s="50" t="n"/>
      <c r="M60" s="52" t="n"/>
      <c r="N60" s="52" t="n"/>
      <c r="O60" s="8" t="n"/>
      <c r="P60" s="3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3" t="n"/>
      <c r="C61" s="4" t="n"/>
      <c r="D61" s="5" t="n"/>
      <c r="E61" s="5" t="n"/>
      <c r="F61" s="5" t="n"/>
      <c r="G61" s="5" t="n"/>
      <c r="H61" s="49" t="n"/>
      <c r="I61" s="50" t="n"/>
      <c r="J61" s="51" t="n"/>
      <c r="K61" s="51" t="n"/>
      <c r="L61" s="50" t="n"/>
      <c r="M61" s="52" t="n"/>
      <c r="N61" s="52" t="n"/>
      <c r="O61" s="8" t="n"/>
      <c r="P61" s="3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3" t="n"/>
      <c r="C62" s="4" t="n"/>
      <c r="D62" s="5" t="n"/>
      <c r="E62" s="5" t="n"/>
      <c r="F62" s="5" t="n"/>
      <c r="G62" s="5" t="n"/>
      <c r="H62" s="49" t="n"/>
      <c r="I62" s="50" t="n"/>
      <c r="J62" s="50" t="n"/>
      <c r="K62" s="50" t="n"/>
      <c r="L62" s="50" t="n"/>
      <c r="M62" s="54" t="n"/>
      <c r="N62" s="50" t="n"/>
      <c r="O62" s="7" t="n"/>
      <c r="P62" s="7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3" t="n"/>
      <c r="C63" s="4" t="n"/>
      <c r="D63" s="5" t="n"/>
      <c r="E63" s="5" t="n"/>
      <c r="F63" s="5" t="n"/>
      <c r="G63" s="5" t="n"/>
      <c r="H63" s="321" t="n"/>
      <c r="I63" s="321" t="n"/>
      <c r="J63" s="321" t="n"/>
      <c r="K63" s="321" t="n"/>
      <c r="L63" s="321" t="n"/>
      <c r="M63" s="321" t="n"/>
      <c r="N63" s="321" t="n"/>
      <c r="O63" s="321" t="n"/>
      <c r="P63" s="32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3" t="n"/>
      <c r="C64" s="4" t="n"/>
      <c r="D64" s="5" t="n"/>
      <c r="E64" s="5" t="n"/>
      <c r="F64" s="5" t="n"/>
      <c r="G64" s="5" t="n"/>
      <c r="H64" s="320" t="n"/>
      <c r="I64" s="320" t="n"/>
      <c r="J64" s="320" t="n"/>
      <c r="K64" s="320" t="n"/>
      <c r="L64" s="320" t="n"/>
      <c r="M64" s="320" t="n"/>
      <c r="N64" s="320" t="n"/>
      <c r="O64" s="320" t="n"/>
      <c r="P64" s="320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3" t="n"/>
      <c r="C65" s="4" t="n"/>
      <c r="D65" s="5" t="n"/>
      <c r="E65" s="5" t="n"/>
      <c r="F65" s="5" t="n"/>
      <c r="G65" s="5" t="n"/>
      <c r="H65" s="49" t="n"/>
      <c r="I65" s="50" t="n"/>
      <c r="J65" s="51" t="n"/>
      <c r="K65" s="51" t="n"/>
      <c r="L65" s="50" t="n"/>
      <c r="M65" s="52" t="n"/>
      <c r="N65" s="52" t="n"/>
      <c r="O65" s="8" t="n"/>
      <c r="P65" s="3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3" t="n"/>
      <c r="C66" s="4" t="n"/>
      <c r="D66" s="5" t="n"/>
      <c r="E66" s="5" t="n"/>
      <c r="F66" s="5" t="n"/>
      <c r="G66" s="5" t="n"/>
      <c r="H66" s="49" t="n"/>
      <c r="I66" s="50" t="n"/>
      <c r="J66" s="50" t="n"/>
      <c r="K66" s="50" t="n"/>
      <c r="L66" s="50" t="n"/>
      <c r="M66" s="54" t="n"/>
      <c r="N66" s="50" t="n"/>
      <c r="O66" s="7" t="n"/>
      <c r="P66" s="7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3" t="n"/>
      <c r="C67" s="4" t="n"/>
      <c r="D67" s="5" t="n"/>
      <c r="E67" s="5" t="n"/>
      <c r="F67" s="5" t="n"/>
      <c r="G67" s="5" t="n"/>
      <c r="H67" s="321" t="n"/>
      <c r="I67" s="321" t="n"/>
      <c r="J67" s="321" t="n"/>
      <c r="K67" s="321" t="n"/>
      <c r="L67" s="321" t="n"/>
      <c r="M67" s="321" t="n"/>
      <c r="N67" s="321" t="n"/>
      <c r="O67" s="321" t="n"/>
      <c r="P67" s="32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3" t="n"/>
      <c r="C68" s="4" t="n"/>
      <c r="D68" s="5" t="n"/>
      <c r="E68" s="5" t="n"/>
      <c r="F68" s="5" t="n"/>
      <c r="G68" s="5" t="n"/>
      <c r="H68" s="320" t="n"/>
      <c r="I68" s="320" t="n"/>
      <c r="J68" s="320" t="n"/>
      <c r="K68" s="320" t="n"/>
      <c r="L68" s="320" t="n"/>
      <c r="M68" s="320" t="n"/>
      <c r="N68" s="320" t="n"/>
      <c r="O68" s="320" t="n"/>
      <c r="P68" s="320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3" t="n"/>
      <c r="C69" s="4" t="n"/>
      <c r="D69" s="5" t="n"/>
      <c r="E69" s="5" t="n"/>
      <c r="F69" s="5" t="n"/>
      <c r="G69" s="5" t="n"/>
      <c r="H69" s="49" t="n"/>
      <c r="I69" s="50" t="n"/>
      <c r="J69" s="50" t="n"/>
      <c r="K69" s="50" t="n"/>
      <c r="L69" s="50" t="n"/>
      <c r="M69" s="336" t="n"/>
      <c r="N69" s="50" t="n"/>
      <c r="O69" s="7" t="n"/>
      <c r="P69" s="7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3" t="n"/>
      <c r="C70" s="4" t="n"/>
      <c r="D70" s="5" t="n"/>
      <c r="E70" s="5" t="n"/>
      <c r="F70" s="5" t="n"/>
      <c r="G70" s="5" t="n"/>
      <c r="H70" s="320" t="n"/>
      <c r="I70" s="320" t="n"/>
      <c r="J70" s="320" t="n"/>
      <c r="K70" s="320" t="n"/>
      <c r="L70" s="320" t="n"/>
      <c r="M70" s="320" t="n"/>
      <c r="N70" s="320" t="n"/>
      <c r="O70" s="320" t="n"/>
      <c r="P70" s="320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3" t="n"/>
      <c r="C71" s="4" t="n"/>
      <c r="D71" s="5" t="n"/>
      <c r="E71" s="5" t="n"/>
      <c r="F71" s="5" t="n"/>
      <c r="G71" s="5" t="n"/>
      <c r="H71" s="49" t="n"/>
      <c r="I71" s="50" t="n"/>
      <c r="J71" s="50" t="n"/>
      <c r="K71" s="50" t="n"/>
      <c r="L71" s="50" t="n"/>
      <c r="M71" s="54" t="n"/>
      <c r="N71" s="50" t="n"/>
      <c r="O71" s="7" t="n"/>
      <c r="P71" s="7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3" t="n"/>
      <c r="C72" s="4" t="n"/>
      <c r="D72" s="5" t="n"/>
      <c r="E72" s="5" t="n"/>
      <c r="F72" s="5" t="n"/>
      <c r="G72" s="5" t="n"/>
      <c r="H72" s="321" t="n"/>
      <c r="I72" s="321" t="n"/>
      <c r="J72" s="321" t="n"/>
      <c r="K72" s="321" t="n"/>
      <c r="L72" s="321" t="n"/>
      <c r="M72" s="321" t="n"/>
      <c r="N72" s="321" t="n"/>
      <c r="O72" s="321" t="n"/>
      <c r="P72" s="32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3" t="n"/>
      <c r="C73" s="4" t="n"/>
      <c r="D73" s="5" t="n"/>
      <c r="E73" s="5" t="n"/>
      <c r="F73" s="5" t="n"/>
      <c r="G73" s="5" t="n"/>
      <c r="H73" s="320" t="n"/>
      <c r="I73" s="320" t="n"/>
      <c r="J73" s="320" t="n"/>
      <c r="K73" s="320" t="n"/>
      <c r="L73" s="320" t="n"/>
      <c r="M73" s="320" t="n"/>
      <c r="N73" s="320" t="n"/>
      <c r="O73" s="320" t="n"/>
      <c r="P73" s="320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3" t="n"/>
      <c r="C74" s="4" t="n"/>
      <c r="D74" s="5" t="n"/>
      <c r="E74" s="5" t="n"/>
      <c r="F74" s="5" t="n"/>
      <c r="G74" s="5" t="n"/>
      <c r="H74" s="49" t="n"/>
      <c r="I74" s="50" t="n"/>
      <c r="J74" s="51" t="n"/>
      <c r="K74" s="51" t="n"/>
      <c r="L74" s="50" t="n"/>
      <c r="M74" s="53" t="n"/>
      <c r="N74" s="52" t="n"/>
      <c r="O74" s="8" t="n"/>
      <c r="P74" s="3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3" t="n"/>
      <c r="C75" s="4" t="n"/>
      <c r="D75" s="5" t="n"/>
      <c r="E75" s="5" t="n"/>
      <c r="F75" s="5" t="n"/>
      <c r="G75" s="5" t="n"/>
      <c r="H75" s="49" t="n"/>
      <c r="I75" s="50" t="n"/>
      <c r="J75" s="50" t="n"/>
      <c r="K75" s="50" t="n"/>
      <c r="L75" s="50" t="n"/>
      <c r="M75" s="54" t="n"/>
      <c r="N75" s="50" t="n"/>
      <c r="O75" s="7" t="n"/>
      <c r="P75" s="7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3" t="n"/>
      <c r="C76" s="4" t="n"/>
      <c r="D76" s="5" t="n"/>
      <c r="E76" s="5" t="n"/>
      <c r="F76" s="5" t="n"/>
      <c r="G76" s="5" t="n"/>
      <c r="H76" s="321" t="n"/>
      <c r="I76" s="321" t="n"/>
      <c r="J76" s="321" t="n"/>
      <c r="K76" s="321" t="n"/>
      <c r="L76" s="321" t="n"/>
      <c r="M76" s="321" t="n"/>
      <c r="N76" s="321" t="n"/>
      <c r="O76" s="321" t="n"/>
      <c r="P76" s="32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3" t="n"/>
      <c r="C77" s="4" t="n"/>
      <c r="D77" s="5" t="n"/>
      <c r="E77" s="5" t="n"/>
      <c r="F77" s="5" t="n"/>
      <c r="G77" s="5" t="n"/>
      <c r="H77" s="320" t="n"/>
      <c r="I77" s="320" t="n"/>
      <c r="J77" s="320" t="n"/>
      <c r="K77" s="320" t="n"/>
      <c r="L77" s="320" t="n"/>
      <c r="M77" s="320" t="n"/>
      <c r="N77" s="320" t="n"/>
      <c r="O77" s="320" t="n"/>
      <c r="P77" s="320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3" t="n"/>
      <c r="C78" s="4" t="n"/>
      <c r="D78" s="5" t="n"/>
      <c r="E78" s="5" t="n"/>
      <c r="F78" s="5" t="n"/>
      <c r="G78" s="5" t="n"/>
      <c r="H78" s="49" t="n"/>
      <c r="I78" s="50" t="n"/>
      <c r="J78" s="51" t="n"/>
      <c r="K78" s="51" t="n"/>
      <c r="L78" s="50" t="n"/>
      <c r="M78" s="52" t="n"/>
      <c r="N78" s="52" t="n"/>
      <c r="O78" s="8" t="n"/>
      <c r="P78" s="3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3" t="n"/>
      <c r="C79" s="4" t="n"/>
      <c r="D79" s="5" t="n"/>
      <c r="E79" s="5" t="n"/>
      <c r="F79" s="5" t="n"/>
      <c r="G79" s="5" t="n"/>
      <c r="H79" s="49" t="n"/>
      <c r="I79" s="50" t="n"/>
      <c r="J79" s="50" t="n"/>
      <c r="K79" s="50" t="n"/>
      <c r="L79" s="50" t="n"/>
      <c r="M79" s="336" t="n"/>
      <c r="N79" s="50" t="n"/>
      <c r="O79" s="7" t="n"/>
      <c r="P79" s="7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3" t="n"/>
      <c r="C80" s="4" t="n"/>
      <c r="D80" s="5" t="n"/>
      <c r="E80" s="5" t="n"/>
      <c r="F80" s="5" t="n"/>
      <c r="G80" s="5" t="n"/>
      <c r="H80" s="320" t="n"/>
      <c r="I80" s="320" t="n"/>
      <c r="J80" s="320" t="n"/>
      <c r="K80" s="320" t="n"/>
      <c r="L80" s="320" t="n"/>
      <c r="M80" s="320" t="n"/>
      <c r="N80" s="320" t="n"/>
      <c r="O80" s="320" t="n"/>
      <c r="P80" s="320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3" t="n"/>
      <c r="C81" s="4" t="n"/>
      <c r="D81" s="5" t="n"/>
      <c r="E81" s="5" t="n"/>
      <c r="F81" s="5" t="n"/>
      <c r="G81" s="5" t="n"/>
      <c r="H81" s="49" t="n"/>
      <c r="I81" s="50" t="n"/>
      <c r="J81" s="51" t="n"/>
      <c r="K81" s="51" t="n"/>
      <c r="L81" s="50" t="n"/>
      <c r="M81" s="52" t="n"/>
      <c r="N81" s="52" t="n"/>
      <c r="O81" s="8" t="n"/>
      <c r="P81" s="3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3" t="n"/>
      <c r="C82" s="4" t="n"/>
      <c r="D82" s="5" t="n"/>
      <c r="E82" s="5" t="n"/>
      <c r="F82" s="5" t="n"/>
      <c r="G82" s="5" t="n"/>
      <c r="H82" s="49" t="n"/>
      <c r="I82" s="50" t="n"/>
      <c r="J82" s="51" t="n"/>
      <c r="K82" s="51" t="n"/>
      <c r="L82" s="50" t="n"/>
      <c r="M82" s="52" t="n"/>
      <c r="N82" s="52" t="n"/>
      <c r="O82" s="8" t="n"/>
      <c r="P82" s="3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3" t="n"/>
      <c r="C83" s="4" t="n"/>
      <c r="D83" s="5" t="n"/>
      <c r="E83" s="5" t="n"/>
      <c r="F83" s="5" t="n"/>
      <c r="G83" s="5" t="n"/>
      <c r="H83" s="49" t="n"/>
      <c r="I83" s="50" t="n"/>
      <c r="J83" s="50" t="n"/>
      <c r="K83" s="50" t="n"/>
      <c r="L83" s="50" t="n"/>
      <c r="M83" s="336" t="n"/>
      <c r="N83" s="50" t="n"/>
      <c r="O83" s="7" t="n"/>
      <c r="P83" s="7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3" t="n"/>
      <c r="C84" s="4" t="n"/>
      <c r="D84" s="5" t="n"/>
      <c r="E84" s="5" t="n"/>
      <c r="F84" s="5" t="n"/>
      <c r="G84" s="5" t="n"/>
      <c r="H84" s="320" t="n"/>
      <c r="I84" s="320" t="n"/>
      <c r="J84" s="320" t="n"/>
      <c r="K84" s="320" t="n"/>
      <c r="L84" s="320" t="n"/>
      <c r="M84" s="320" t="n"/>
      <c r="N84" s="320" t="n"/>
      <c r="O84" s="320" t="n"/>
      <c r="P84" s="320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3" t="n"/>
      <c r="C85" s="4" t="n"/>
      <c r="D85" s="5" t="n"/>
      <c r="E85" s="5" t="n"/>
      <c r="F85" s="5" t="n"/>
      <c r="G85" s="5" t="n"/>
      <c r="H85" s="49" t="n"/>
      <c r="I85" s="50" t="n"/>
      <c r="J85" s="50" t="n"/>
      <c r="K85" s="50" t="n"/>
      <c r="L85" s="50" t="n"/>
      <c r="M85" s="336" t="n"/>
      <c r="N85" s="50" t="n"/>
      <c r="O85" s="7" t="n"/>
      <c r="P85" s="7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3" t="n"/>
      <c r="C86" s="4" t="n"/>
      <c r="D86" s="5" t="n"/>
      <c r="E86" s="5" t="n"/>
      <c r="F86" s="5" t="n"/>
      <c r="G86" s="5" t="n"/>
      <c r="H86" s="320" t="n"/>
      <c r="I86" s="320" t="n"/>
      <c r="J86" s="320" t="n"/>
      <c r="K86" s="320" t="n"/>
      <c r="L86" s="320" t="n"/>
      <c r="M86" s="320" t="n"/>
      <c r="N86" s="320" t="n"/>
      <c r="O86" s="320" t="n"/>
      <c r="P86" s="320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3" t="n"/>
      <c r="C87" s="4" t="n"/>
      <c r="D87" s="5" t="n"/>
      <c r="E87" s="5" t="n"/>
      <c r="F87" s="5" t="n"/>
      <c r="G87" s="5" t="n"/>
      <c r="H87" s="49" t="n"/>
      <c r="I87" s="50" t="n"/>
      <c r="J87" s="51" t="n"/>
      <c r="K87" s="51" t="n"/>
      <c r="L87" s="50" t="n"/>
      <c r="M87" s="52" t="n"/>
      <c r="N87" s="52" t="n"/>
      <c r="O87" s="8" t="n"/>
      <c r="P87" s="3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3" t="n"/>
      <c r="C88" s="4" t="n"/>
      <c r="D88" s="5" t="n"/>
      <c r="E88" s="5" t="n"/>
      <c r="F88" s="5" t="n"/>
      <c r="G88" s="5" t="n"/>
      <c r="H88" s="49" t="n"/>
      <c r="I88" s="50" t="n"/>
      <c r="J88" s="51" t="n"/>
      <c r="K88" s="51" t="n"/>
      <c r="L88" s="50" t="n"/>
      <c r="M88" s="52" t="n"/>
      <c r="N88" s="52" t="n"/>
      <c r="O88" s="8" t="n"/>
      <c r="P88" s="3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3" t="n"/>
      <c r="C89" s="4" t="n"/>
      <c r="D89" s="5" t="n"/>
      <c r="E89" s="5" t="n"/>
      <c r="F89" s="5" t="n"/>
      <c r="G89" s="5" t="n"/>
      <c r="H89" s="49" t="n"/>
      <c r="I89" s="50" t="n"/>
      <c r="J89" s="50" t="n"/>
      <c r="K89" s="50" t="n"/>
      <c r="L89" s="50" t="n"/>
      <c r="M89" s="336" t="n"/>
      <c r="N89" s="50" t="n"/>
      <c r="O89" s="7" t="n"/>
      <c r="P89" s="7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3" t="n"/>
      <c r="C90" s="4" t="n"/>
      <c r="D90" s="5" t="n"/>
      <c r="E90" s="5" t="n"/>
      <c r="F90" s="5" t="n"/>
      <c r="G90" s="5" t="n"/>
      <c r="H90" s="320" t="n"/>
      <c r="I90" s="320" t="n"/>
      <c r="J90" s="320" t="n"/>
      <c r="K90" s="320" t="n"/>
      <c r="L90" s="320" t="n"/>
      <c r="M90" s="320" t="n"/>
      <c r="N90" s="320" t="n"/>
      <c r="O90" s="320" t="n"/>
      <c r="P90" s="320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3" t="n"/>
      <c r="C91" s="4" t="n"/>
      <c r="D91" s="5" t="n"/>
      <c r="E91" s="5" t="n"/>
      <c r="F91" s="5" t="n"/>
      <c r="G91" s="5" t="n"/>
      <c r="H91" s="49" t="n"/>
      <c r="I91" s="50" t="n"/>
      <c r="J91" s="51" t="n"/>
      <c r="K91" s="51" t="n"/>
      <c r="L91" s="50" t="n"/>
      <c r="M91" s="52" t="n"/>
      <c r="N91" s="52" t="n"/>
      <c r="O91" s="8" t="n"/>
      <c r="P91" s="3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3" t="n"/>
      <c r="C92" s="4" t="n"/>
      <c r="D92" s="5" t="n"/>
      <c r="E92" s="5" t="n"/>
      <c r="F92" s="5" t="n"/>
      <c r="G92" s="5" t="n"/>
      <c r="H92" s="49" t="n"/>
      <c r="I92" s="50" t="n"/>
      <c r="J92" s="50" t="n"/>
      <c r="K92" s="50" t="n"/>
      <c r="L92" s="50" t="n"/>
      <c r="M92" s="54" t="n"/>
      <c r="N92" s="50" t="n"/>
      <c r="O92" s="7" t="n"/>
      <c r="P92" s="7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3" t="n"/>
      <c r="C93" s="4" t="n"/>
      <c r="D93" s="5" t="n"/>
      <c r="E93" s="5" t="n"/>
      <c r="F93" s="5" t="n"/>
      <c r="G93" s="5" t="n"/>
      <c r="H93" s="321" t="n"/>
      <c r="I93" s="321" t="n"/>
      <c r="J93" s="321" t="n"/>
      <c r="K93" s="321" t="n"/>
      <c r="L93" s="321" t="n"/>
      <c r="M93" s="321" t="n"/>
      <c r="N93" s="321" t="n"/>
      <c r="O93" s="321" t="n"/>
      <c r="P93" s="32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3" t="n"/>
      <c r="C94" s="4" t="n"/>
      <c r="D94" s="5" t="n"/>
      <c r="E94" s="5" t="n"/>
      <c r="F94" s="5" t="n"/>
      <c r="G94" s="5" t="n"/>
      <c r="H94" s="320" t="n"/>
      <c r="I94" s="320" t="n"/>
      <c r="J94" s="320" t="n"/>
      <c r="K94" s="320" t="n"/>
      <c r="L94" s="320" t="n"/>
      <c r="M94" s="320" t="n"/>
      <c r="N94" s="320" t="n"/>
      <c r="O94" s="320" t="n"/>
      <c r="P94" s="320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3" t="n"/>
      <c r="C95" s="4" t="n"/>
      <c r="D95" s="5" t="n"/>
      <c r="E95" s="5" t="n"/>
      <c r="F95" s="5" t="n"/>
      <c r="G95" s="5" t="n"/>
      <c r="H95" s="49" t="n"/>
      <c r="I95" s="50" t="n"/>
      <c r="J95" s="50" t="n"/>
      <c r="K95" s="50" t="n"/>
      <c r="L95" s="50" t="n"/>
      <c r="M95" s="336" t="n"/>
      <c r="N95" s="50" t="n"/>
      <c r="O95" s="7" t="n"/>
      <c r="P95" s="7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3" t="n"/>
      <c r="C96" s="4" t="n"/>
      <c r="D96" s="5" t="n"/>
      <c r="E96" s="5" t="n"/>
      <c r="F96" s="5" t="n"/>
      <c r="G96" s="5" t="n"/>
      <c r="H96" s="320" t="n"/>
      <c r="I96" s="320" t="n"/>
      <c r="J96" s="320" t="n"/>
      <c r="K96" s="320" t="n"/>
      <c r="L96" s="320" t="n"/>
      <c r="M96" s="320" t="n"/>
      <c r="N96" s="320" t="n"/>
      <c r="O96" s="320" t="n"/>
      <c r="P96" s="320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3" t="n"/>
      <c r="C97" s="4" t="n"/>
      <c r="D97" s="5" t="n"/>
      <c r="E97" s="5" t="n"/>
      <c r="F97" s="5" t="n"/>
      <c r="G97" s="5" t="n"/>
      <c r="H97" s="49" t="n"/>
      <c r="I97" s="50" t="n"/>
      <c r="J97" s="50" t="n"/>
      <c r="K97" s="50" t="n"/>
      <c r="L97" s="50" t="n"/>
      <c r="M97" s="54" t="n"/>
      <c r="N97" s="50" t="n"/>
      <c r="O97" s="7" t="n"/>
      <c r="P97" s="7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3" t="n"/>
      <c r="C98" s="4" t="n"/>
      <c r="D98" s="5" t="n"/>
      <c r="E98" s="5" t="n"/>
      <c r="F98" s="5" t="n"/>
      <c r="G98" s="5" t="n"/>
      <c r="H98" s="321" t="n"/>
      <c r="I98" s="321" t="n"/>
      <c r="J98" s="321" t="n"/>
      <c r="K98" s="321" t="n"/>
      <c r="L98" s="321" t="n"/>
      <c r="M98" s="321" t="n"/>
      <c r="N98" s="321" t="n"/>
      <c r="O98" s="321" t="n"/>
      <c r="P98" s="32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3" t="n"/>
      <c r="C99" s="4" t="n"/>
      <c r="D99" s="5" t="n"/>
      <c r="E99" s="5" t="n"/>
      <c r="F99" s="5" t="n"/>
      <c r="G99" s="5" t="n"/>
      <c r="H99" s="320" t="n"/>
      <c r="I99" s="320" t="n"/>
      <c r="J99" s="320" t="n"/>
      <c r="K99" s="320" t="n"/>
      <c r="L99" s="320" t="n"/>
      <c r="M99" s="320" t="n"/>
      <c r="N99" s="320" t="n"/>
      <c r="O99" s="320" t="n"/>
      <c r="P99" s="320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3" t="n"/>
      <c r="C100" s="4" t="n"/>
      <c r="D100" s="5" t="n"/>
      <c r="E100" s="5" t="n"/>
      <c r="F100" s="5" t="n"/>
      <c r="G100" s="5" t="n"/>
      <c r="H100" s="49" t="n"/>
      <c r="I100" s="50" t="n"/>
      <c r="J100" s="51" t="n"/>
      <c r="K100" s="51" t="n"/>
      <c r="L100" s="50" t="n"/>
      <c r="M100" s="52" t="n"/>
      <c r="N100" s="52" t="n"/>
      <c r="O100" s="8" t="n"/>
      <c r="P100" s="3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3" t="n"/>
      <c r="C101" s="4" t="n"/>
      <c r="D101" s="5" t="n"/>
      <c r="E101" s="5" t="n"/>
      <c r="F101" s="5" t="n"/>
      <c r="G101" s="5" t="n"/>
      <c r="H101" s="49" t="n"/>
      <c r="I101" s="50" t="n"/>
      <c r="J101" s="50" t="n"/>
      <c r="K101" s="50" t="n"/>
      <c r="L101" s="50" t="n"/>
      <c r="M101" s="337" t="n"/>
      <c r="N101" s="50" t="n"/>
      <c r="O101" s="7" t="n"/>
      <c r="P101" s="7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3" t="n"/>
      <c r="C102" s="4" t="n"/>
      <c r="D102" s="5" t="n"/>
      <c r="E102" s="5" t="n"/>
      <c r="F102" s="5" t="n"/>
      <c r="G102" s="5" t="n"/>
      <c r="H102" s="320" t="n"/>
      <c r="I102" s="320" t="n"/>
      <c r="J102" s="320" t="n"/>
      <c r="K102" s="320" t="n"/>
      <c r="L102" s="320" t="n"/>
      <c r="M102" s="320" t="n"/>
      <c r="N102" s="320" t="n"/>
      <c r="O102" s="320" t="n"/>
      <c r="P102" s="320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3" t="n"/>
      <c r="C103" s="4" t="n"/>
      <c r="D103" s="5" t="n"/>
      <c r="E103" s="5" t="n"/>
      <c r="F103" s="5" t="n"/>
      <c r="G103" s="5" t="n"/>
      <c r="H103" s="49" t="n"/>
      <c r="I103" s="50" t="n"/>
      <c r="J103" s="50" t="n"/>
      <c r="K103" s="50" t="n"/>
      <c r="L103" s="50" t="n"/>
      <c r="M103" s="54" t="n"/>
      <c r="N103" s="50" t="n"/>
      <c r="O103" s="7" t="n"/>
      <c r="P103" s="7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3" t="n"/>
      <c r="C104" s="4" t="n"/>
      <c r="D104" s="5" t="n"/>
      <c r="E104" s="5" t="n"/>
      <c r="F104" s="5" t="n"/>
      <c r="G104" s="5" t="n"/>
      <c r="H104" s="321" t="n"/>
      <c r="I104" s="321" t="n"/>
      <c r="J104" s="321" t="n"/>
      <c r="K104" s="321" t="n"/>
      <c r="L104" s="321" t="n"/>
      <c r="M104" s="321" t="n"/>
      <c r="N104" s="321" t="n"/>
      <c r="O104" s="321" t="n"/>
      <c r="P104" s="32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3" t="n"/>
      <c r="C105" s="4" t="n"/>
      <c r="D105" s="5" t="n"/>
      <c r="E105" s="5" t="n"/>
      <c r="F105" s="5" t="n"/>
      <c r="G105" s="5" t="n"/>
      <c r="H105" s="320" t="n"/>
      <c r="I105" s="320" t="n"/>
      <c r="J105" s="320" t="n"/>
      <c r="K105" s="320" t="n"/>
      <c r="L105" s="320" t="n"/>
      <c r="M105" s="320" t="n"/>
      <c r="N105" s="320" t="n"/>
      <c r="O105" s="320" t="n"/>
      <c r="P105" s="320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3" t="n"/>
      <c r="C106" s="4" t="n"/>
      <c r="D106" s="5" t="n"/>
      <c r="E106" s="5" t="n"/>
      <c r="F106" s="5" t="n"/>
      <c r="G106" s="5" t="n"/>
      <c r="H106" s="49" t="n"/>
      <c r="I106" s="50" t="n"/>
      <c r="J106" s="51" t="n"/>
      <c r="K106" s="51" t="n"/>
      <c r="L106" s="50" t="n"/>
      <c r="M106" s="52" t="n"/>
      <c r="N106" s="52" t="n"/>
      <c r="O106" s="8" t="n"/>
      <c r="P106" s="3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3" t="n"/>
      <c r="C107" s="4" t="n"/>
      <c r="D107" s="5" t="n"/>
      <c r="E107" s="5" t="n"/>
      <c r="F107" s="5" t="n"/>
      <c r="G107" s="5" t="n"/>
      <c r="H107" s="49" t="n"/>
      <c r="I107" s="50" t="n"/>
      <c r="J107" s="50" t="n"/>
      <c r="K107" s="50" t="n"/>
      <c r="L107" s="50" t="n"/>
      <c r="M107" s="337" t="n"/>
      <c r="N107" s="50" t="n"/>
      <c r="O107" s="7" t="n"/>
      <c r="P107" s="7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3" t="n"/>
      <c r="C108" s="4" t="n"/>
      <c r="D108" s="5" t="n"/>
      <c r="E108" s="5" t="n"/>
      <c r="F108" s="5" t="n"/>
      <c r="G108" s="5" t="n"/>
      <c r="H108" s="320" t="n"/>
      <c r="I108" s="320" t="n"/>
      <c r="J108" s="320" t="n"/>
      <c r="K108" s="320" t="n"/>
      <c r="L108" s="320" t="n"/>
      <c r="M108" s="320" t="n"/>
      <c r="N108" s="320" t="n"/>
      <c r="O108" s="320" t="n"/>
      <c r="P108" s="320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3" t="n"/>
      <c r="C109" s="4" t="n"/>
      <c r="D109" s="5" t="n"/>
      <c r="E109" s="5" t="n"/>
      <c r="F109" s="5" t="n"/>
      <c r="G109" s="5" t="n"/>
      <c r="H109" s="49" t="n"/>
      <c r="I109" s="50" t="n"/>
      <c r="J109" s="51" t="n"/>
      <c r="K109" s="51" t="n"/>
      <c r="L109" s="50" t="n"/>
      <c r="M109" s="52" t="n"/>
      <c r="N109" s="52" t="n"/>
      <c r="O109" s="8" t="n"/>
      <c r="P109" s="3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3" t="n"/>
      <c r="C110" s="4" t="n"/>
      <c r="D110" s="5" t="n"/>
      <c r="E110" s="5" t="n"/>
      <c r="F110" s="5" t="n"/>
      <c r="G110" s="5" t="n"/>
      <c r="H110" s="49" t="n"/>
      <c r="I110" s="50" t="n"/>
      <c r="J110" s="51" t="n"/>
      <c r="K110" s="51" t="n"/>
      <c r="L110" s="50" t="n"/>
      <c r="M110" s="52" t="n"/>
      <c r="N110" s="52" t="n"/>
      <c r="O110" s="8" t="n"/>
      <c r="P110" s="3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3" t="n"/>
      <c r="C111" s="4" t="n"/>
      <c r="D111" s="5" t="n"/>
      <c r="E111" s="5" t="n"/>
      <c r="F111" s="5" t="n"/>
      <c r="G111" s="5" t="n"/>
      <c r="H111" s="49" t="n"/>
      <c r="I111" s="50" t="n"/>
      <c r="J111" s="50" t="n"/>
      <c r="K111" s="50" t="n"/>
      <c r="L111" s="50" t="n"/>
      <c r="M111" s="336" t="n"/>
      <c r="N111" s="50" t="n"/>
      <c r="O111" s="7" t="n"/>
      <c r="P111" s="7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3" t="n"/>
      <c r="C112" s="4" t="n"/>
      <c r="D112" s="5" t="n"/>
      <c r="E112" s="5" t="n"/>
      <c r="F112" s="5" t="n"/>
      <c r="G112" s="5" t="n"/>
      <c r="H112" s="320" t="n"/>
      <c r="I112" s="320" t="n"/>
      <c r="J112" s="320" t="n"/>
      <c r="K112" s="320" t="n"/>
      <c r="L112" s="320" t="n"/>
      <c r="M112" s="320" t="n"/>
      <c r="N112" s="320" t="n"/>
      <c r="O112" s="320" t="n"/>
      <c r="P112" s="320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3" t="n"/>
      <c r="C113" s="4" t="n"/>
      <c r="D113" s="5" t="n"/>
      <c r="E113" s="5" t="n"/>
      <c r="F113" s="5" t="n"/>
      <c r="G113" s="5" t="n"/>
      <c r="H113" s="49" t="n"/>
      <c r="I113" s="50" t="n"/>
      <c r="J113" s="51" t="n"/>
      <c r="K113" s="51" t="n"/>
      <c r="L113" s="50" t="n"/>
      <c r="M113" s="52" t="n"/>
      <c r="N113" s="52" t="n"/>
      <c r="O113" s="8" t="n"/>
      <c r="P113" s="3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3" t="n"/>
      <c r="C114" s="4" t="n"/>
      <c r="D114" s="5" t="n"/>
      <c r="E114" s="5" t="n"/>
      <c r="F114" s="5" t="n"/>
      <c r="G114" s="5" t="n"/>
      <c r="H114" s="49" t="n"/>
      <c r="I114" s="50" t="n"/>
      <c r="J114" s="50" t="n"/>
      <c r="K114" s="50" t="n"/>
      <c r="L114" s="50" t="n"/>
      <c r="M114" s="336" t="n"/>
      <c r="N114" s="50" t="n"/>
      <c r="O114" s="7" t="n"/>
      <c r="P114" s="7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3" t="n"/>
      <c r="C115" s="4" t="n"/>
      <c r="D115" s="5" t="n"/>
      <c r="E115" s="5" t="n"/>
      <c r="F115" s="5" t="n"/>
      <c r="G115" s="5" t="n"/>
      <c r="H115" s="320" t="n"/>
      <c r="I115" s="320" t="n"/>
      <c r="J115" s="320" t="n"/>
      <c r="K115" s="320" t="n"/>
      <c r="L115" s="320" t="n"/>
      <c r="M115" s="320" t="n"/>
      <c r="N115" s="320" t="n"/>
      <c r="O115" s="320" t="n"/>
      <c r="P115" s="320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3" t="n"/>
      <c r="C116" s="4" t="n"/>
      <c r="D116" s="5" t="n"/>
      <c r="E116" s="5" t="n"/>
      <c r="F116" s="5" t="n"/>
      <c r="G116" s="5" t="n"/>
      <c r="H116" s="49" t="n"/>
      <c r="I116" s="50" t="n"/>
      <c r="J116" s="50" t="n"/>
      <c r="K116" s="50" t="n"/>
      <c r="L116" s="50" t="n"/>
      <c r="M116" s="337" t="n"/>
      <c r="N116" s="50" t="n"/>
      <c r="O116" s="7" t="n"/>
      <c r="P116" s="7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3" t="n"/>
      <c r="C117" s="4" t="n"/>
      <c r="D117" s="5" t="n"/>
      <c r="E117" s="5" t="n"/>
      <c r="F117" s="5" t="n"/>
      <c r="G117" s="5" t="n"/>
      <c r="H117" s="320" t="n"/>
      <c r="I117" s="320" t="n"/>
      <c r="J117" s="320" t="n"/>
      <c r="K117" s="320" t="n"/>
      <c r="L117" s="320" t="n"/>
      <c r="M117" s="320" t="n"/>
      <c r="N117" s="320" t="n"/>
      <c r="O117" s="320" t="n"/>
      <c r="P117" s="320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3" t="n"/>
      <c r="C118" s="4" t="n"/>
      <c r="D118" s="5" t="n"/>
      <c r="E118" s="5" t="n"/>
      <c r="F118" s="5" t="n"/>
      <c r="G118" s="5" t="n"/>
      <c r="H118" s="49" t="n"/>
      <c r="I118" s="50" t="n"/>
      <c r="J118" s="51" t="n"/>
      <c r="K118" s="51" t="n"/>
      <c r="L118" s="50" t="n"/>
      <c r="M118" s="92" t="n"/>
      <c r="N118" s="92" t="n"/>
      <c r="O118" s="8" t="n"/>
      <c r="P118" s="3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3" t="n"/>
      <c r="C119" s="4" t="n"/>
      <c r="D119" s="5" t="n"/>
      <c r="E119" s="5" t="n"/>
      <c r="F119" s="5" t="n"/>
      <c r="G119" s="5" t="n"/>
      <c r="H119" s="49" t="n"/>
      <c r="I119" s="50" t="n"/>
      <c r="J119" s="50" t="n"/>
      <c r="K119" s="50" t="n"/>
      <c r="L119" s="101" t="n"/>
      <c r="M119" s="338" t="n"/>
      <c r="N119" s="70" t="n"/>
      <c r="O119" s="331" t="n"/>
      <c r="P119" s="7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3" t="n"/>
      <c r="C120" s="4" t="n"/>
      <c r="D120" s="5" t="n"/>
      <c r="E120" s="5" t="n"/>
      <c r="F120" s="5" t="n"/>
      <c r="G120" s="5" t="n"/>
      <c r="H120" s="320" t="n"/>
      <c r="I120" s="320" t="n"/>
      <c r="J120" s="320" t="n"/>
      <c r="K120" s="320" t="n"/>
      <c r="L120" s="339" t="n"/>
      <c r="M120" s="340" t="n"/>
      <c r="N120" s="340" t="n"/>
      <c r="O120" s="332" t="n"/>
      <c r="P120" s="320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3" t="n"/>
      <c r="C121" s="4" t="n"/>
      <c r="D121" s="5" t="n"/>
      <c r="E121" s="5" t="n"/>
      <c r="F121" s="5" t="n"/>
      <c r="G121" s="5" t="n"/>
      <c r="H121" s="49" t="n"/>
      <c r="I121" s="50" t="n"/>
      <c r="J121" s="50" t="n"/>
      <c r="K121" s="50" t="n"/>
      <c r="L121" s="101" t="n"/>
      <c r="M121" s="341" t="n"/>
      <c r="N121" s="70" t="n"/>
      <c r="O121" s="331" t="n"/>
      <c r="P121" s="7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3" t="n"/>
      <c r="C122" s="4" t="n"/>
      <c r="D122" s="5" t="n"/>
      <c r="E122" s="5" t="n"/>
      <c r="F122" s="5" t="n"/>
      <c r="G122" s="5" t="n"/>
      <c r="H122" s="320" t="n"/>
      <c r="I122" s="320" t="n"/>
      <c r="J122" s="320" t="n"/>
      <c r="K122" s="320" t="n"/>
      <c r="L122" s="339" t="n"/>
      <c r="M122" s="340" t="n"/>
      <c r="N122" s="340" t="n"/>
      <c r="O122" s="332" t="n"/>
      <c r="P122" s="320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3" t="n"/>
      <c r="C123" s="4" t="n"/>
      <c r="D123" s="5" t="n"/>
      <c r="E123" s="5" t="n"/>
      <c r="F123" s="5" t="n"/>
      <c r="G123" s="5" t="n"/>
      <c r="H123" s="49" t="n"/>
      <c r="I123" s="50" t="n"/>
      <c r="J123" s="50" t="n"/>
      <c r="K123" s="50" t="n"/>
      <c r="L123" s="101" t="n"/>
      <c r="M123" s="341" t="n"/>
      <c r="N123" s="70" t="n"/>
      <c r="O123" s="331" t="n"/>
      <c r="P123" s="7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3" t="n"/>
      <c r="C124" s="4" t="n"/>
      <c r="D124" s="5" t="n"/>
      <c r="E124" s="5" t="n"/>
      <c r="F124" s="5" t="n"/>
      <c r="G124" s="5" t="n"/>
      <c r="H124" s="320" t="n"/>
      <c r="I124" s="320" t="n"/>
      <c r="J124" s="320" t="n"/>
      <c r="K124" s="320" t="n"/>
      <c r="L124" s="339" t="n"/>
      <c r="M124" s="340" t="n"/>
      <c r="N124" s="340" t="n"/>
      <c r="O124" s="332" t="n"/>
      <c r="P124" s="320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3" t="n"/>
      <c r="C125" s="4" t="n"/>
      <c r="D125" s="5" t="n"/>
      <c r="E125" s="5" t="n"/>
      <c r="F125" s="5" t="n"/>
      <c r="G125" s="5" t="n"/>
      <c r="H125" s="49" t="n"/>
      <c r="I125" s="50" t="n"/>
      <c r="J125" s="51" t="n"/>
      <c r="K125" s="51" t="n"/>
      <c r="L125" s="101" t="n"/>
      <c r="M125" s="72" t="n"/>
      <c r="N125" s="72" t="n"/>
      <c r="O125" s="102" t="n"/>
      <c r="P125" s="3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3" t="n"/>
      <c r="C126" s="4" t="n"/>
      <c r="D126" s="5" t="n"/>
      <c r="E126" s="5" t="n"/>
      <c r="F126" s="5" t="n"/>
      <c r="G126" s="5" t="n"/>
      <c r="H126" s="49" t="n"/>
      <c r="I126" s="50" t="n"/>
      <c r="J126" s="51" t="n"/>
      <c r="K126" s="51" t="n"/>
      <c r="L126" s="101" t="n"/>
      <c r="M126" s="72" t="n"/>
      <c r="N126" s="72" t="n"/>
      <c r="O126" s="102" t="n"/>
      <c r="P126" s="3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3" t="n"/>
      <c r="C127" s="4" t="n"/>
      <c r="D127" s="5" t="n"/>
      <c r="E127" s="5" t="n"/>
      <c r="F127" s="5" t="n"/>
      <c r="G127" s="5" t="n"/>
      <c r="H127" s="49" t="n"/>
      <c r="I127" s="50" t="n"/>
      <c r="J127" s="50" t="n"/>
      <c r="K127" s="50" t="n"/>
      <c r="L127" s="101" t="n"/>
      <c r="M127" s="341" t="n"/>
      <c r="N127" s="70" t="n"/>
      <c r="O127" s="331" t="n"/>
      <c r="P127" s="7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3" t="n"/>
      <c r="C128" s="4" t="n"/>
      <c r="D128" s="5" t="n"/>
      <c r="E128" s="5" t="n"/>
      <c r="F128" s="5" t="n"/>
      <c r="G128" s="5" t="n"/>
      <c r="H128" s="320" t="n"/>
      <c r="I128" s="320" t="n"/>
      <c r="J128" s="320" t="n"/>
      <c r="K128" s="320" t="n"/>
      <c r="L128" s="339" t="n"/>
      <c r="M128" s="340" t="n"/>
      <c r="N128" s="340" t="n"/>
      <c r="O128" s="332" t="n"/>
      <c r="P128" s="320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3" t="n"/>
      <c r="C129" s="4" t="n"/>
      <c r="D129" s="5" t="n"/>
      <c r="E129" s="5" t="n"/>
      <c r="F129" s="5" t="n"/>
      <c r="G129" s="5" t="n"/>
      <c r="H129" s="49" t="n"/>
      <c r="I129" s="50" t="n"/>
      <c r="J129" s="51" t="n"/>
      <c r="K129" s="51" t="n"/>
      <c r="L129" s="101" t="n"/>
      <c r="M129" s="72" t="n"/>
      <c r="N129" s="72" t="n"/>
      <c r="O129" s="102" t="n"/>
      <c r="P129" s="3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3" t="n"/>
      <c r="C130" s="4" t="n"/>
      <c r="D130" s="5" t="n"/>
      <c r="E130" s="5" t="n"/>
      <c r="F130" s="5" t="n"/>
      <c r="G130" s="5" t="n"/>
      <c r="H130" s="49" t="n"/>
      <c r="I130" s="50" t="n"/>
      <c r="J130" s="51" t="n"/>
      <c r="K130" s="51" t="n"/>
      <c r="L130" s="101" t="n"/>
      <c r="M130" s="72" t="n"/>
      <c r="N130" s="72" t="n"/>
      <c r="O130" s="102" t="n"/>
      <c r="P130" s="3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3" t="n"/>
      <c r="C131" s="4" t="n"/>
      <c r="D131" s="5" t="n"/>
      <c r="E131" s="5" t="n"/>
      <c r="F131" s="5" t="n"/>
      <c r="G131" s="5" t="n"/>
      <c r="H131" s="49" t="n"/>
      <c r="I131" s="50" t="n"/>
      <c r="J131" s="51" t="n"/>
      <c r="K131" s="51" t="n"/>
      <c r="L131" s="101" t="n"/>
      <c r="M131" s="72" t="n"/>
      <c r="N131" s="72" t="n"/>
      <c r="O131" s="102" t="n"/>
      <c r="P131" s="3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3" t="n"/>
      <c r="C132" s="4" t="n"/>
      <c r="D132" s="5" t="n"/>
      <c r="E132" s="5" t="n"/>
      <c r="F132" s="5" t="n"/>
      <c r="G132" s="5" t="n"/>
      <c r="H132" s="49" t="n"/>
      <c r="I132" s="50" t="n"/>
      <c r="J132" s="51" t="n"/>
      <c r="K132" s="51" t="n"/>
      <c r="L132" s="101" t="n"/>
      <c r="M132" s="72" t="n"/>
      <c r="N132" s="72" t="n"/>
      <c r="O132" s="102" t="n"/>
      <c r="P132" s="3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3" t="n"/>
      <c r="C133" s="4" t="n"/>
      <c r="D133" s="5" t="n"/>
      <c r="E133" s="5" t="n"/>
      <c r="F133" s="5" t="n"/>
      <c r="G133" s="5" t="n"/>
      <c r="H133" s="49" t="n"/>
      <c r="I133" s="50" t="n"/>
      <c r="J133" s="51" t="n"/>
      <c r="K133" s="51" t="n"/>
      <c r="L133" s="101" t="n"/>
      <c r="M133" s="72" t="n"/>
      <c r="N133" s="72" t="n"/>
      <c r="O133" s="102" t="n"/>
      <c r="P133" s="3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3" t="n"/>
      <c r="C134" s="4" t="n"/>
      <c r="D134" s="5" t="n"/>
      <c r="E134" s="5" t="n"/>
      <c r="F134" s="5" t="n"/>
      <c r="G134" s="5" t="n"/>
      <c r="H134" s="49" t="n"/>
      <c r="I134" s="50" t="n"/>
      <c r="J134" s="51" t="n"/>
      <c r="K134" s="51" t="n"/>
      <c r="L134" s="101" t="n"/>
      <c r="M134" s="72" t="n"/>
      <c r="N134" s="72" t="n"/>
      <c r="O134" s="102" t="n"/>
      <c r="P134" s="3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3" t="n"/>
      <c r="C135" s="4" t="n"/>
      <c r="D135" s="5" t="n"/>
      <c r="E135" s="5" t="n"/>
      <c r="F135" s="5" t="n"/>
      <c r="G135" s="5" t="n"/>
      <c r="H135" s="49" t="n"/>
      <c r="I135" s="50" t="n"/>
      <c r="J135" s="51" t="n"/>
      <c r="K135" s="51" t="n"/>
      <c r="L135" s="101" t="n"/>
      <c r="M135" s="72" t="n"/>
      <c r="N135" s="72" t="n"/>
      <c r="O135" s="102" t="n"/>
      <c r="P135" s="3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13" t="n"/>
      <c r="C136" s="4" t="n"/>
      <c r="D136" s="5" t="n"/>
      <c r="E136" s="5" t="n"/>
      <c r="F136" s="5" t="n"/>
      <c r="G136" s="5" t="n"/>
      <c r="H136" s="49" t="n"/>
      <c r="I136" s="50" t="n"/>
      <c r="J136" s="51" t="n"/>
      <c r="K136" s="51" t="n"/>
      <c r="L136" s="101" t="n"/>
      <c r="M136" s="114" t="n"/>
      <c r="N136" s="72" t="n"/>
      <c r="O136" s="102" t="n"/>
      <c r="P136" s="3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3" t="n"/>
      <c r="C137" s="4" t="n"/>
      <c r="D137" s="5" t="n"/>
      <c r="E137" s="5" t="n"/>
      <c r="F137" s="5" t="n"/>
      <c r="G137" s="5" t="n"/>
      <c r="H137" s="49" t="n"/>
      <c r="I137" s="50" t="n"/>
      <c r="J137" s="51" t="n"/>
      <c r="K137" s="51" t="n"/>
      <c r="L137" s="101" t="n"/>
      <c r="M137" s="72" t="n"/>
      <c r="N137" s="72" t="n"/>
      <c r="O137" s="102" t="n"/>
      <c r="P137" s="3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3" t="n"/>
      <c r="C138" s="4" t="n"/>
      <c r="D138" s="5" t="n"/>
      <c r="E138" s="5" t="n"/>
      <c r="F138" s="5" t="n"/>
      <c r="G138" s="5" t="n"/>
      <c r="H138" s="49" t="n"/>
      <c r="I138" s="50" t="n"/>
      <c r="J138" s="51" t="n"/>
      <c r="K138" s="51" t="n"/>
      <c r="L138" s="101" t="n"/>
      <c r="M138" s="72" t="n"/>
      <c r="N138" s="72" t="n"/>
      <c r="O138" s="102" t="n"/>
      <c r="P138" s="3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3" t="n"/>
      <c r="C139" s="4" t="n"/>
      <c r="D139" s="5" t="n"/>
      <c r="E139" s="5" t="n"/>
      <c r="F139" s="5" t="n"/>
      <c r="G139" s="5" t="n"/>
      <c r="H139" s="49" t="n"/>
      <c r="I139" s="50" t="n"/>
      <c r="J139" s="51" t="n"/>
      <c r="K139" s="51" t="n"/>
      <c r="L139" s="101" t="n"/>
      <c r="M139" s="72" t="n"/>
      <c r="N139" s="72" t="n"/>
      <c r="O139" s="102" t="n"/>
      <c r="P139" s="3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3" t="n"/>
      <c r="C140" s="4" t="n"/>
      <c r="D140" s="5" t="n"/>
      <c r="E140" s="5" t="n"/>
      <c r="F140" s="5" t="n"/>
      <c r="G140" s="5" t="n"/>
      <c r="H140" s="49" t="n"/>
      <c r="I140" s="50" t="n"/>
      <c r="J140" s="51" t="n"/>
      <c r="K140" s="51" t="n"/>
      <c r="L140" s="101" t="n"/>
      <c r="M140" s="72" t="n"/>
      <c r="N140" s="72" t="n"/>
      <c r="O140" s="102" t="n"/>
      <c r="P140" s="3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3" t="n"/>
      <c r="C141" s="4" t="n"/>
      <c r="D141" s="5" t="n"/>
      <c r="E141" s="5" t="n"/>
      <c r="F141" s="5" t="n"/>
      <c r="G141" s="5" t="n"/>
      <c r="H141" s="49" t="n"/>
      <c r="I141" s="50" t="n"/>
      <c r="J141" s="51" t="n"/>
      <c r="K141" s="51" t="n"/>
      <c r="L141" s="101" t="n"/>
      <c r="M141" s="72" t="n"/>
      <c r="N141" s="72" t="n"/>
      <c r="O141" s="102" t="n"/>
      <c r="P141" s="3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3" t="n"/>
      <c r="C142" s="4" t="n"/>
      <c r="D142" s="5" t="n"/>
      <c r="E142" s="5" t="n"/>
      <c r="F142" s="5" t="n"/>
      <c r="G142" s="5" t="n"/>
      <c r="H142" s="49" t="n"/>
      <c r="I142" s="50" t="n"/>
      <c r="J142" s="51" t="n"/>
      <c r="K142" s="51" t="n"/>
      <c r="L142" s="101" t="n"/>
      <c r="M142" s="72" t="n"/>
      <c r="N142" s="72" t="n"/>
      <c r="O142" s="102" t="n"/>
      <c r="P142" s="3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3" t="n"/>
      <c r="C143" s="4" t="n"/>
      <c r="D143" s="5" t="n"/>
      <c r="E143" s="5" t="n"/>
      <c r="F143" s="5" t="n"/>
      <c r="G143" s="5" t="n"/>
      <c r="H143" s="49" t="n"/>
      <c r="I143" s="50" t="n"/>
      <c r="J143" s="51" t="n"/>
      <c r="K143" s="51" t="n"/>
      <c r="L143" s="101" t="n"/>
      <c r="M143" s="72" t="n"/>
      <c r="N143" s="72" t="n"/>
      <c r="O143" s="102" t="n"/>
      <c r="P143" s="3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3" t="n"/>
      <c r="C144" s="4" t="n"/>
      <c r="D144" s="5" t="n"/>
      <c r="E144" s="5" t="n"/>
      <c r="F144" s="5" t="n"/>
      <c r="G144" s="5" t="n"/>
      <c r="H144" s="49" t="n"/>
      <c r="I144" s="50" t="n"/>
      <c r="J144" s="51" t="n"/>
      <c r="K144" s="51" t="n"/>
      <c r="L144" s="101" t="n"/>
      <c r="M144" s="72" t="n"/>
      <c r="N144" s="72" t="n"/>
      <c r="O144" s="102" t="n"/>
      <c r="P144" s="3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3" t="n"/>
      <c r="C145" s="4" t="n"/>
      <c r="D145" s="5" t="n"/>
      <c r="E145" s="5" t="n"/>
      <c r="F145" s="5" t="n"/>
      <c r="G145" s="5" t="n"/>
      <c r="H145" s="49" t="n"/>
      <c r="I145" s="50" t="n"/>
      <c r="J145" s="51" t="n"/>
      <c r="K145" s="51" t="n"/>
      <c r="L145" s="101" t="n"/>
      <c r="M145" s="72" t="n"/>
      <c r="N145" s="72" t="n"/>
      <c r="O145" s="102" t="n"/>
      <c r="P145" s="3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3" t="n"/>
      <c r="C146" s="4" t="n"/>
      <c r="D146" s="5" t="n"/>
      <c r="E146" s="5" t="n"/>
      <c r="F146" s="5" t="n"/>
      <c r="G146" s="5" t="n"/>
      <c r="H146" s="49" t="n"/>
      <c r="I146" s="50" t="n"/>
      <c r="J146" s="51" t="n"/>
      <c r="K146" s="51" t="n"/>
      <c r="L146" s="101" t="n"/>
      <c r="M146" s="72" t="n"/>
      <c r="N146" s="72" t="n"/>
      <c r="O146" s="102" t="n"/>
      <c r="P146" s="3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3" t="n"/>
      <c r="C147" s="4" t="n"/>
      <c r="D147" s="5" t="n"/>
      <c r="E147" s="5" t="n"/>
      <c r="F147" s="5" t="n"/>
      <c r="G147" s="5" t="n"/>
      <c r="H147" s="49" t="n"/>
      <c r="I147" s="50" t="n"/>
      <c r="J147" s="51" t="n"/>
      <c r="K147" s="51" t="n"/>
      <c r="L147" s="101" t="n"/>
      <c r="M147" s="72" t="n"/>
      <c r="N147" s="72" t="n"/>
      <c r="O147" s="102" t="n"/>
      <c r="P147" s="3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3" t="n"/>
      <c r="C148" s="4" t="n"/>
      <c r="D148" s="5" t="n"/>
      <c r="E148" s="5" t="n"/>
      <c r="F148" s="5" t="n"/>
      <c r="G148" s="5" t="n"/>
      <c r="H148" s="49" t="n"/>
      <c r="I148" s="50" t="n"/>
      <c r="J148" s="50" t="n"/>
      <c r="K148" s="50" t="n"/>
      <c r="L148" s="101" t="n"/>
      <c r="M148" s="338" t="n"/>
      <c r="N148" s="70" t="n"/>
      <c r="O148" s="331" t="n"/>
      <c r="P148" s="7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3" t="n"/>
      <c r="C149" s="4" t="n"/>
      <c r="D149" s="5" t="n"/>
      <c r="E149" s="5" t="n"/>
      <c r="F149" s="5" t="n"/>
      <c r="G149" s="5" t="n"/>
      <c r="H149" s="321" t="n"/>
      <c r="I149" s="321" t="n"/>
      <c r="J149" s="321" t="n"/>
      <c r="K149" s="321" t="n"/>
      <c r="L149" s="342" t="n"/>
      <c r="M149" s="343" t="n"/>
      <c r="N149" s="343" t="n"/>
      <c r="O149" s="344" t="n"/>
      <c r="P149" s="32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3" t="n"/>
      <c r="C150" s="4" t="n"/>
      <c r="D150" s="5" t="n"/>
      <c r="E150" s="5" t="n"/>
      <c r="F150" s="5" t="n"/>
      <c r="G150" s="5" t="n"/>
      <c r="H150" s="321" t="n"/>
      <c r="I150" s="321" t="n"/>
      <c r="J150" s="321" t="n"/>
      <c r="K150" s="321" t="n"/>
      <c r="L150" s="342" t="n"/>
      <c r="M150" s="343" t="n"/>
      <c r="N150" s="343" t="n"/>
      <c r="O150" s="344" t="n"/>
      <c r="P150" s="32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3" t="n"/>
      <c r="C151" s="4" t="n"/>
      <c r="D151" s="5" t="n"/>
      <c r="E151" s="5" t="n"/>
      <c r="F151" s="5" t="n"/>
      <c r="G151" s="5" t="n"/>
      <c r="H151" s="321" t="n"/>
      <c r="I151" s="321" t="n"/>
      <c r="J151" s="321" t="n"/>
      <c r="K151" s="321" t="n"/>
      <c r="L151" s="342" t="n"/>
      <c r="M151" s="343" t="n"/>
      <c r="N151" s="343" t="n"/>
      <c r="O151" s="344" t="n"/>
      <c r="P151" s="32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3" t="n"/>
      <c r="C152" s="4" t="n"/>
      <c r="D152" s="5" t="n"/>
      <c r="E152" s="5" t="n"/>
      <c r="F152" s="5" t="n"/>
      <c r="G152" s="5" t="n"/>
      <c r="H152" s="320" t="n"/>
      <c r="I152" s="320" t="n"/>
      <c r="J152" s="320" t="n"/>
      <c r="K152" s="320" t="n"/>
      <c r="L152" s="339" t="n"/>
      <c r="M152" s="340" t="n"/>
      <c r="N152" s="340" t="n"/>
      <c r="O152" s="332" t="n"/>
      <c r="P152" s="320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3" t="n"/>
      <c r="C153" s="4" t="n"/>
      <c r="D153" s="5" t="n"/>
      <c r="E153" s="5" t="n"/>
      <c r="F153" s="5" t="n"/>
      <c r="G153" s="5" t="n"/>
      <c r="H153" s="49" t="n"/>
      <c r="I153" s="50" t="n"/>
      <c r="J153" s="51" t="n"/>
      <c r="K153" s="51" t="n"/>
      <c r="L153" s="101" t="n"/>
      <c r="M153" s="72" t="n"/>
      <c r="N153" s="72" t="n"/>
      <c r="O153" s="102" t="n"/>
      <c r="P153" s="3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3" t="n"/>
      <c r="C154" s="4" t="n"/>
      <c r="D154" s="5" t="n"/>
      <c r="E154" s="5" t="n"/>
      <c r="F154" s="5" t="n"/>
      <c r="G154" s="5" t="n"/>
      <c r="H154" s="49" t="n"/>
      <c r="I154" s="50" t="n"/>
      <c r="J154" s="51" t="n"/>
      <c r="K154" s="128" t="n"/>
      <c r="L154" s="101" t="n"/>
      <c r="M154" s="72" t="n"/>
      <c r="N154" s="72" t="n"/>
      <c r="O154" s="102" t="n"/>
      <c r="P154" s="3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3" t="n"/>
      <c r="C155" s="4" t="n"/>
      <c r="D155" s="5" t="n"/>
      <c r="E155" s="5" t="n"/>
      <c r="F155" s="5" t="n"/>
      <c r="G155" s="5" t="n"/>
      <c r="H155" s="49" t="n"/>
      <c r="I155" s="50" t="n"/>
      <c r="J155" s="51" t="n"/>
      <c r="K155" s="51" t="n"/>
      <c r="L155" s="101" t="n"/>
      <c r="M155" s="72" t="n"/>
      <c r="N155" s="72" t="n"/>
      <c r="O155" s="102" t="n"/>
      <c r="P155" s="3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3" t="n"/>
      <c r="C156" s="4" t="n"/>
      <c r="D156" s="5" t="n"/>
      <c r="E156" s="5" t="n"/>
      <c r="F156" s="5" t="n"/>
      <c r="G156" s="5" t="n"/>
      <c r="H156" s="49" t="n"/>
      <c r="I156" s="50" t="n"/>
      <c r="J156" s="51" t="n"/>
      <c r="K156" s="51" t="n"/>
      <c r="L156" s="101" t="n"/>
      <c r="M156" s="130" t="n"/>
      <c r="N156" s="72" t="n"/>
      <c r="O156" s="102" t="n"/>
      <c r="P156" s="3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3" t="n"/>
      <c r="C157" s="4" t="n"/>
      <c r="D157" s="5" t="n"/>
      <c r="E157" s="5" t="n"/>
      <c r="F157" s="5" t="n"/>
      <c r="G157" s="5" t="n"/>
      <c r="H157" s="49" t="n"/>
      <c r="I157" s="50" t="n"/>
      <c r="J157" s="51" t="n"/>
      <c r="K157" s="51" t="n"/>
      <c r="L157" s="101" t="n"/>
      <c r="M157" s="72" t="n"/>
      <c r="N157" s="72" t="n"/>
      <c r="O157" s="102" t="n"/>
      <c r="P157" s="3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3" t="n"/>
      <c r="C158" s="4" t="n"/>
      <c r="D158" s="5" t="n"/>
      <c r="E158" s="5" t="n"/>
      <c r="F158" s="5" t="n"/>
      <c r="G158" s="5" t="n"/>
      <c r="H158" s="49" t="n"/>
      <c r="I158" s="50" t="n"/>
      <c r="J158" s="51" t="n"/>
      <c r="K158" s="51" t="n"/>
      <c r="L158" s="101" t="n"/>
      <c r="M158" s="72" t="n"/>
      <c r="N158" s="72" t="n"/>
      <c r="O158" s="102" t="n"/>
      <c r="P158" s="3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3" t="n"/>
      <c r="C159" s="4" t="n"/>
      <c r="D159" s="5" t="n"/>
      <c r="E159" s="5" t="n"/>
      <c r="F159" s="5" t="n"/>
      <c r="G159" s="5" t="n"/>
      <c r="H159" s="49" t="n"/>
      <c r="I159" s="50" t="n"/>
      <c r="J159" s="51" t="n"/>
      <c r="K159" s="51" t="n"/>
      <c r="L159" s="101" t="n"/>
      <c r="M159" s="72" t="n"/>
      <c r="N159" s="72" t="n"/>
      <c r="O159" s="102" t="n"/>
      <c r="P159" s="3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3" t="n"/>
      <c r="C160" s="4" t="n"/>
      <c r="D160" s="5" t="n"/>
      <c r="E160" s="5" t="n"/>
      <c r="F160" s="5" t="n"/>
      <c r="G160" s="5" t="n"/>
      <c r="H160" s="49" t="n"/>
      <c r="I160" s="50" t="n"/>
      <c r="J160" s="51" t="n"/>
      <c r="K160" s="51" t="n"/>
      <c r="L160" s="101" t="n"/>
      <c r="M160" s="72" t="n"/>
      <c r="N160" s="72" t="n"/>
      <c r="O160" s="102" t="n"/>
      <c r="P160" s="3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3" t="n"/>
      <c r="C161" s="4" t="n"/>
      <c r="D161" s="5" t="n"/>
      <c r="E161" s="5" t="n"/>
      <c r="F161" s="5" t="n"/>
      <c r="G161" s="5" t="n"/>
      <c r="H161" s="49" t="n"/>
      <c r="I161" s="50" t="n"/>
      <c r="J161" s="51" t="n"/>
      <c r="K161" s="51" t="n"/>
      <c r="L161" s="101" t="n"/>
      <c r="M161" s="72" t="n"/>
      <c r="N161" s="72" t="n"/>
      <c r="O161" s="102" t="n"/>
      <c r="P161" s="3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3" t="n"/>
      <c r="C162" s="4" t="n"/>
      <c r="D162" s="5" t="n"/>
      <c r="E162" s="5" t="n"/>
      <c r="F162" s="5" t="n"/>
      <c r="G162" s="5" t="n"/>
      <c r="H162" s="49" t="n"/>
      <c r="I162" s="50" t="n"/>
      <c r="J162" s="51" t="n"/>
      <c r="K162" s="51" t="n"/>
      <c r="L162" s="101" t="n"/>
      <c r="M162" s="72" t="n"/>
      <c r="N162" s="72" t="n"/>
      <c r="O162" s="102" t="n"/>
      <c r="P162" s="3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3" t="n"/>
      <c r="C163" s="4" t="n"/>
      <c r="D163" s="5" t="n"/>
      <c r="E163" s="5" t="n"/>
      <c r="F163" s="5" t="n"/>
      <c r="G163" s="5" t="n"/>
      <c r="H163" s="49" t="n"/>
      <c r="I163" s="50" t="n"/>
      <c r="J163" s="51" t="n"/>
      <c r="K163" s="51" t="n"/>
      <c r="L163" s="101" t="n"/>
      <c r="M163" s="72" t="n"/>
      <c r="N163" s="72" t="n"/>
      <c r="O163" s="102" t="n"/>
      <c r="P163" s="3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3" t="n"/>
      <c r="C164" s="4" t="n"/>
      <c r="D164" s="5" t="n"/>
      <c r="E164" s="5" t="n"/>
      <c r="F164" s="5" t="n"/>
      <c r="G164" s="5" t="n"/>
      <c r="H164" s="49" t="n"/>
      <c r="I164" s="50" t="n"/>
      <c r="J164" s="51" t="n"/>
      <c r="K164" s="51" t="n"/>
      <c r="L164" s="101" t="n"/>
      <c r="M164" s="72" t="n"/>
      <c r="N164" s="72" t="n"/>
      <c r="O164" s="102" t="n"/>
      <c r="P164" s="3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3" t="n"/>
      <c r="C165" s="4" t="n"/>
      <c r="D165" s="5" t="n"/>
      <c r="E165" s="5" t="n"/>
      <c r="F165" s="5" t="n"/>
      <c r="G165" s="5" t="n"/>
      <c r="H165" s="49" t="n"/>
      <c r="I165" s="50" t="n"/>
      <c r="J165" s="51" t="n"/>
      <c r="K165" s="51" t="n"/>
      <c r="L165" s="101" t="n"/>
      <c r="M165" s="130" t="n"/>
      <c r="N165" s="72" t="n"/>
      <c r="O165" s="102" t="n"/>
      <c r="P165" s="3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3" t="n"/>
      <c r="C166" s="4" t="n"/>
      <c r="D166" s="5" t="n"/>
      <c r="E166" s="5" t="n"/>
      <c r="F166" s="5" t="n"/>
      <c r="G166" s="5" t="n"/>
      <c r="H166" s="49" t="n"/>
      <c r="I166" s="50" t="n"/>
      <c r="J166" s="51" t="n"/>
      <c r="K166" s="51" t="n"/>
      <c r="L166" s="101" t="n"/>
      <c r="M166" s="72" t="n"/>
      <c r="N166" s="72" t="n"/>
      <c r="O166" s="102" t="n"/>
      <c r="P166" s="3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3" t="n"/>
      <c r="C167" s="4" t="n"/>
      <c r="D167" s="5" t="n"/>
      <c r="E167" s="5" t="n"/>
      <c r="F167" s="5" t="n"/>
      <c r="G167" s="5" t="n"/>
      <c r="H167" s="49" t="n"/>
      <c r="I167" s="50" t="n"/>
      <c r="J167" s="51" t="n"/>
      <c r="K167" s="51" t="n"/>
      <c r="L167" s="101" t="n"/>
      <c r="M167" s="72" t="n"/>
      <c r="N167" s="72" t="n"/>
      <c r="O167" s="102" t="n"/>
      <c r="P167" s="3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32" t="n"/>
      <c r="C168" s="4" t="n"/>
      <c r="D168" s="5" t="n"/>
      <c r="E168" s="5" t="n"/>
      <c r="F168" s="5" t="n"/>
      <c r="G168" s="5" t="n"/>
      <c r="H168" s="49" t="n"/>
      <c r="I168" s="50" t="n"/>
      <c r="J168" s="51" t="n"/>
      <c r="K168" s="51" t="n"/>
      <c r="L168" s="101" t="n"/>
      <c r="M168" s="72" t="n"/>
      <c r="N168" s="72" t="n"/>
      <c r="O168" s="102" t="n"/>
      <c r="P168" s="3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3" t="n"/>
      <c r="C169" s="4" t="n"/>
      <c r="D169" s="5" t="n"/>
      <c r="E169" s="5" t="n"/>
      <c r="F169" s="5" t="n"/>
      <c r="G169" s="5" t="n"/>
      <c r="H169" s="49" t="n"/>
      <c r="I169" s="50" t="n"/>
      <c r="J169" s="51" t="n"/>
      <c r="K169" s="51" t="n"/>
      <c r="L169" s="101" t="n"/>
      <c r="M169" s="72" t="n"/>
      <c r="N169" s="72" t="n"/>
      <c r="O169" s="102" t="n"/>
      <c r="P169" s="3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3" t="n"/>
      <c r="C170" s="4" t="n"/>
      <c r="D170" s="5" t="n"/>
      <c r="E170" s="5" t="n"/>
      <c r="F170" s="5" t="n"/>
      <c r="G170" s="5" t="n"/>
      <c r="H170" s="49" t="n"/>
      <c r="I170" s="50" t="n"/>
      <c r="J170" s="51" t="n"/>
      <c r="K170" s="51" t="n"/>
      <c r="L170" s="101" t="n"/>
      <c r="M170" s="176" t="n"/>
      <c r="N170" s="72" t="n"/>
      <c r="O170" s="102" t="n"/>
      <c r="P170" s="3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3" t="n"/>
      <c r="C171" s="4" t="n"/>
      <c r="D171" s="5" t="n"/>
      <c r="E171" s="5" t="n"/>
      <c r="F171" s="5" t="n"/>
      <c r="G171" s="5" t="n"/>
      <c r="H171" s="320" t="n"/>
      <c r="I171" s="320" t="n"/>
      <c r="J171" s="320" t="n"/>
      <c r="K171" s="320" t="n"/>
      <c r="L171" s="339" t="n"/>
      <c r="M171" s="340" t="n"/>
      <c r="N171" s="72" t="n"/>
      <c r="O171" s="102" t="n"/>
      <c r="P171" s="3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33" t="n"/>
      <c r="C172" s="137" t="n"/>
      <c r="D172" s="5" t="n"/>
      <c r="E172" s="5" t="n"/>
      <c r="F172" s="5" t="n"/>
      <c r="G172" s="5" t="n"/>
      <c r="H172" s="49" t="n"/>
      <c r="I172" s="50" t="n"/>
      <c r="J172" s="51" t="n"/>
      <c r="K172" s="138" t="n"/>
      <c r="L172" s="101" t="n"/>
      <c r="M172" s="139" t="n"/>
      <c r="N172" s="72" t="n"/>
      <c r="O172" s="102" t="n"/>
      <c r="P172" s="3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66" t="n"/>
      <c r="C173" s="108" t="n"/>
      <c r="D173" s="140" t="n"/>
      <c r="E173" s="5" t="n"/>
      <c r="F173" s="5" t="n"/>
      <c r="G173" s="5" t="n"/>
      <c r="H173" s="49" t="n"/>
      <c r="I173" s="50" t="n"/>
      <c r="J173" s="51" t="n"/>
      <c r="K173" s="51" t="n"/>
      <c r="L173" s="101" t="n"/>
      <c r="M173" s="139" t="n"/>
      <c r="N173" s="72" t="n"/>
      <c r="O173" s="102" t="n"/>
      <c r="P173" s="3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39" t="n"/>
      <c r="C174" s="108" t="n"/>
      <c r="D174" s="140" t="n"/>
      <c r="E174" s="5" t="n"/>
      <c r="F174" s="5" t="n"/>
      <c r="G174" s="5" t="n"/>
      <c r="H174" s="49" t="n"/>
      <c r="I174" s="50" t="n"/>
      <c r="J174" s="51" t="n"/>
      <c r="K174" s="51" t="n"/>
      <c r="L174" s="101" t="n"/>
      <c r="M174" s="139" t="n"/>
      <c r="N174" s="72" t="n"/>
      <c r="O174" s="102" t="n"/>
      <c r="P174" s="3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66" t="n"/>
      <c r="C175" s="108" t="n"/>
      <c r="D175" s="140" t="n"/>
      <c r="E175" s="5" t="n"/>
      <c r="F175" s="5" t="n"/>
      <c r="G175" s="5" t="n"/>
      <c r="H175" s="49" t="n"/>
      <c r="I175" s="50" t="n"/>
      <c r="J175" s="51" t="n"/>
      <c r="K175" s="51" t="n"/>
      <c r="L175" s="101" t="n"/>
      <c r="M175" s="139" t="n"/>
      <c r="N175" s="72" t="n"/>
      <c r="O175" s="102" t="n"/>
      <c r="P175" s="3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66" t="n"/>
      <c r="C176" s="108" t="n"/>
      <c r="D176" s="140" t="n"/>
      <c r="E176" s="5" t="n"/>
      <c r="F176" s="5" t="n"/>
      <c r="G176" s="5" t="n"/>
      <c r="H176" s="49" t="n"/>
      <c r="I176" s="50" t="n"/>
      <c r="J176" s="51" t="n"/>
      <c r="K176" s="51" t="n"/>
      <c r="L176" s="101" t="n"/>
      <c r="M176" s="139" t="n"/>
      <c r="N176" s="72" t="n"/>
      <c r="O176" s="102" t="n"/>
      <c r="P176" s="3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42" t="n"/>
      <c r="C177" s="26" t="n"/>
      <c r="D177" s="5" t="n"/>
      <c r="E177" s="5" t="n"/>
      <c r="F177" s="5" t="n"/>
      <c r="G177" s="5" t="n"/>
      <c r="H177" s="49" t="n"/>
      <c r="I177" s="58" t="n"/>
      <c r="J177" s="133" t="n"/>
      <c r="K177" s="51" t="n"/>
      <c r="L177" s="101" t="n"/>
      <c r="M177" s="139" t="n"/>
      <c r="N177" s="72" t="n"/>
      <c r="O177" s="102" t="n"/>
      <c r="P177" s="3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3" t="n"/>
      <c r="C178" s="4" t="n"/>
      <c r="D178" s="5" t="n"/>
      <c r="E178" s="5" t="n"/>
      <c r="F178" s="5" t="n"/>
      <c r="G178" s="5" t="n"/>
      <c r="H178" s="49" t="n"/>
      <c r="I178" s="70" t="n"/>
      <c r="J178" s="139" t="n"/>
      <c r="K178" s="144" t="n"/>
      <c r="L178" s="101" t="n"/>
      <c r="M178" s="139" t="n"/>
      <c r="N178" s="72" t="n"/>
      <c r="O178" s="102" t="n"/>
      <c r="P178" s="3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3" t="n"/>
      <c r="C179" s="4" t="n"/>
      <c r="D179" s="5" t="n"/>
      <c r="E179" s="5" t="n"/>
      <c r="F179" s="5" t="n"/>
      <c r="G179" s="5" t="n"/>
      <c r="H179" s="49" t="n"/>
      <c r="I179" s="145" t="n"/>
      <c r="J179" s="146" t="n"/>
      <c r="K179" s="51" t="n"/>
      <c r="L179" s="101" t="n"/>
      <c r="M179" s="139" t="n"/>
      <c r="N179" s="72" t="n"/>
      <c r="O179" s="102" t="n"/>
      <c r="P179" s="3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47" t="n"/>
      <c r="C180" s="4" t="n"/>
      <c r="D180" s="5" t="n"/>
      <c r="E180" s="5" t="n"/>
      <c r="F180" s="5" t="n"/>
      <c r="G180" s="5" t="n"/>
      <c r="H180" s="49" t="n"/>
      <c r="I180" s="50" t="n"/>
      <c r="J180" s="51" t="n"/>
      <c r="K180" s="51" t="n"/>
      <c r="L180" s="101" t="n"/>
      <c r="M180" s="139" t="n"/>
      <c r="N180" s="72" t="n"/>
      <c r="O180" s="102" t="n"/>
      <c r="P180" s="3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3" t="n"/>
      <c r="C181" s="4" t="n"/>
      <c r="D181" s="5" t="n"/>
      <c r="E181" s="5" t="n"/>
      <c r="F181" s="5" t="n"/>
      <c r="G181" s="5" t="n"/>
      <c r="H181" s="49" t="n"/>
      <c r="I181" s="50" t="n"/>
      <c r="J181" s="51" t="n"/>
      <c r="K181" s="51" t="n"/>
      <c r="L181" s="101" t="n"/>
      <c r="M181" s="139" t="n"/>
      <c r="N181" s="72" t="n"/>
      <c r="O181" s="102" t="n"/>
      <c r="P181" s="3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3" t="n"/>
      <c r="C182" s="4" t="n"/>
      <c r="D182" s="5" t="n"/>
      <c r="E182" s="5" t="n"/>
      <c r="F182" s="5" t="n"/>
      <c r="G182" s="5" t="n"/>
      <c r="H182" s="49" t="n"/>
      <c r="I182" s="50" t="n"/>
      <c r="J182" s="51" t="n"/>
      <c r="K182" s="51" t="n"/>
      <c r="L182" s="101" t="n"/>
      <c r="M182" s="139" t="n"/>
      <c r="N182" s="72" t="n"/>
      <c r="O182" s="102" t="n"/>
      <c r="P182" s="3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3" t="n"/>
      <c r="C183" s="4" t="n"/>
      <c r="D183" s="5" t="n"/>
      <c r="E183" s="5" t="n"/>
      <c r="F183" s="5" t="n"/>
      <c r="G183" s="5" t="n"/>
      <c r="H183" s="49" t="n"/>
      <c r="I183" s="50" t="n"/>
      <c r="J183" s="51" t="n"/>
      <c r="K183" s="51" t="n"/>
      <c r="L183" s="101" t="n"/>
      <c r="M183" s="176" t="n"/>
      <c r="N183" s="72" t="n"/>
      <c r="O183" s="102" t="n"/>
      <c r="P183" s="3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3" t="n"/>
      <c r="C184" s="4" t="n"/>
      <c r="D184" s="5" t="n"/>
      <c r="E184" s="5" t="n"/>
      <c r="F184" s="5" t="n"/>
      <c r="G184" s="5" t="n"/>
      <c r="H184" s="320" t="n"/>
      <c r="I184" s="320" t="n"/>
      <c r="J184" s="320" t="n"/>
      <c r="K184" s="320" t="n"/>
      <c r="L184" s="101" t="n"/>
      <c r="M184" s="340" t="n"/>
      <c r="N184" s="72" t="n"/>
      <c r="O184" s="102" t="n"/>
      <c r="P184" s="3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47" t="n"/>
      <c r="C185" s="4" t="n"/>
      <c r="D185" s="5" t="n"/>
      <c r="E185" s="5" t="n"/>
      <c r="F185" s="5" t="n"/>
      <c r="G185" s="5" t="n"/>
      <c r="H185" s="49" t="n"/>
      <c r="I185" s="50" t="n"/>
      <c r="J185" s="51" t="n"/>
      <c r="K185" s="51" t="n"/>
      <c r="L185" s="101" t="n"/>
      <c r="M185" s="139" t="n"/>
      <c r="N185" s="72" t="n"/>
      <c r="O185" s="102" t="n"/>
      <c r="P185" s="3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3" t="n"/>
      <c r="C186" s="4" t="n"/>
      <c r="D186" s="5" t="n"/>
      <c r="E186" s="5" t="n"/>
      <c r="F186" s="5" t="n"/>
      <c r="G186" s="5" t="n"/>
      <c r="H186" s="49" t="n"/>
      <c r="I186" s="50" t="n"/>
      <c r="J186" s="51" t="n"/>
      <c r="K186" s="51" t="n"/>
      <c r="L186" s="101" t="n"/>
      <c r="M186" s="139" t="n"/>
      <c r="N186" s="72" t="n"/>
      <c r="O186" s="102" t="n"/>
      <c r="P186" s="3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3" t="n"/>
      <c r="C187" s="4" t="n"/>
      <c r="D187" s="5" t="n"/>
      <c r="E187" s="5" t="n"/>
      <c r="F187" s="5" t="n"/>
      <c r="G187" s="5" t="n"/>
      <c r="H187" s="49" t="n"/>
      <c r="I187" s="50" t="n"/>
      <c r="J187" s="51" t="n"/>
      <c r="K187" s="51" t="n"/>
      <c r="L187" s="101" t="n"/>
      <c r="M187" s="139" t="n"/>
      <c r="N187" s="72" t="n"/>
      <c r="O187" s="102" t="n"/>
      <c r="P187" s="3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3" t="n"/>
      <c r="C188" s="4" t="n"/>
      <c r="D188" s="5" t="n"/>
      <c r="E188" s="5" t="n"/>
      <c r="F188" s="5" t="n"/>
      <c r="G188" s="5" t="n"/>
      <c r="H188" s="49" t="n"/>
      <c r="I188" s="50" t="n"/>
      <c r="J188" s="51" t="n"/>
      <c r="K188" s="51" t="n"/>
      <c r="L188" s="101" t="n"/>
      <c r="M188" s="139" t="n"/>
      <c r="N188" s="72" t="n"/>
      <c r="O188" s="102" t="n"/>
      <c r="P188" s="3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3" t="n"/>
      <c r="C189" s="4" t="n"/>
      <c r="D189" s="5" t="n"/>
      <c r="E189" s="5" t="n"/>
      <c r="F189" s="5" t="n"/>
      <c r="G189" s="5" t="n"/>
      <c r="H189" s="49" t="n"/>
      <c r="I189" s="50" t="n"/>
      <c r="J189" s="51" t="n"/>
      <c r="K189" s="51" t="n"/>
      <c r="L189" s="101" t="n"/>
      <c r="M189" s="139" t="n"/>
      <c r="N189" s="72" t="n"/>
      <c r="O189" s="102" t="n"/>
      <c r="P189" s="3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3" t="n"/>
      <c r="C190" s="4" t="n"/>
      <c r="D190" s="5" t="n"/>
      <c r="E190" s="5" t="n"/>
      <c r="F190" s="148" t="n"/>
      <c r="G190" s="5" t="n"/>
      <c r="H190" s="49" t="n"/>
      <c r="I190" s="50" t="n"/>
      <c r="J190" s="51" t="n"/>
      <c r="K190" s="51" t="n"/>
      <c r="L190" s="101" t="n"/>
      <c r="M190" s="149" t="n"/>
      <c r="N190" s="72" t="n"/>
      <c r="O190" s="102" t="n"/>
      <c r="P190" s="3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3" t="n"/>
      <c r="C191" s="4" t="n"/>
      <c r="D191" s="5" t="n"/>
      <c r="E191" s="5" t="n"/>
      <c r="F191" s="151" t="n"/>
      <c r="G191" s="5" t="n"/>
      <c r="H191" s="49" t="n"/>
      <c r="I191" s="50" t="n"/>
      <c r="J191" s="51" t="n"/>
      <c r="K191" s="51" t="n"/>
      <c r="L191" s="101" t="n"/>
      <c r="M191" s="176" t="n"/>
      <c r="N191" s="72" t="n"/>
      <c r="O191" s="102" t="n"/>
      <c r="P191" s="3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52" t="n"/>
      <c r="C192" s="4" t="n"/>
      <c r="D192" s="5" t="n"/>
      <c r="E192" s="5" t="n"/>
      <c r="F192" s="151" t="n"/>
      <c r="G192" s="5" t="n"/>
      <c r="H192" s="320" t="n"/>
      <c r="I192" s="320" t="n"/>
      <c r="J192" s="320" t="n"/>
      <c r="K192" s="320" t="n"/>
      <c r="L192" s="339" t="n"/>
      <c r="M192" s="340" t="n"/>
      <c r="N192" s="72" t="n"/>
      <c r="O192" s="102" t="n"/>
      <c r="P192" s="3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3" t="n"/>
      <c r="C193" s="4" t="n"/>
      <c r="D193" s="5" t="n"/>
      <c r="E193" s="5" t="n"/>
      <c r="F193" s="153" t="n"/>
      <c r="G193" s="5" t="n"/>
      <c r="H193" s="49" t="n"/>
      <c r="I193" s="50" t="n"/>
      <c r="J193" s="51" t="n"/>
      <c r="K193" s="51" t="n"/>
      <c r="L193" s="101" t="n"/>
      <c r="M193" s="139" t="n"/>
      <c r="N193" s="72" t="n"/>
      <c r="O193" s="102" t="n"/>
      <c r="P193" s="3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52" t="n"/>
      <c r="C194" s="4" t="n"/>
      <c r="D194" s="5" t="n"/>
      <c r="E194" s="5" t="n"/>
      <c r="F194" s="5" t="n"/>
      <c r="G194" s="5" t="n"/>
      <c r="H194" s="49" t="n"/>
      <c r="I194" s="50" t="n"/>
      <c r="J194" s="51" t="n"/>
      <c r="K194" s="51" t="n"/>
      <c r="L194" s="101" t="n"/>
      <c r="M194" s="139" t="n"/>
      <c r="N194" s="72" t="n"/>
      <c r="O194" s="102" t="n"/>
      <c r="P194" s="3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52" t="n"/>
      <c r="C195" s="4" t="n"/>
      <c r="D195" s="5" t="n"/>
      <c r="E195" s="5" t="n"/>
      <c r="F195" s="5" t="n"/>
      <c r="G195" s="5" t="n"/>
      <c r="H195" s="49" t="n"/>
      <c r="I195" s="50" t="n"/>
      <c r="J195" s="51" t="n"/>
      <c r="K195" s="51" t="n"/>
      <c r="L195" s="101" t="n"/>
      <c r="M195" s="139" t="n"/>
      <c r="N195" s="72" t="n"/>
      <c r="O195" s="102" t="n"/>
      <c r="P195" s="3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3" t="n"/>
      <c r="C196" s="4" t="n"/>
      <c r="D196" s="5" t="n"/>
      <c r="E196" s="5" t="n"/>
      <c r="F196" s="5" t="n"/>
      <c r="G196" s="5" t="n"/>
      <c r="H196" s="49" t="n"/>
      <c r="I196" s="50" t="n"/>
      <c r="J196" s="51" t="n"/>
      <c r="K196" s="51" t="n"/>
      <c r="L196" s="101" t="n"/>
      <c r="M196" s="139" t="n"/>
      <c r="N196" s="72" t="n"/>
      <c r="O196" s="102" t="n"/>
      <c r="P196" s="3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52" t="n"/>
      <c r="C197" s="4" t="n"/>
      <c r="D197" s="5" t="n"/>
      <c r="E197" s="5" t="n"/>
      <c r="F197" s="5" t="n"/>
      <c r="G197" s="5" t="n"/>
      <c r="H197" s="49" t="n"/>
      <c r="I197" s="50" t="n"/>
      <c r="J197" s="51" t="n"/>
      <c r="K197" s="51" t="n"/>
      <c r="L197" s="101" t="n"/>
      <c r="M197" s="139" t="n"/>
      <c r="N197" s="72" t="n"/>
      <c r="O197" s="102" t="n"/>
      <c r="P197" s="3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52" t="n"/>
      <c r="C198" s="4" t="n"/>
      <c r="D198" s="5" t="n"/>
      <c r="E198" s="5" t="n"/>
      <c r="F198" s="5" t="n"/>
      <c r="G198" s="5" t="n"/>
      <c r="H198" s="49" t="n"/>
      <c r="I198" s="50" t="n"/>
      <c r="J198" s="51" t="n"/>
      <c r="K198" s="51" t="n"/>
      <c r="L198" s="101" t="n"/>
      <c r="M198" s="149" t="n"/>
      <c r="N198" s="72" t="n"/>
      <c r="O198" s="102" t="n"/>
      <c r="P198" s="3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3" t="n"/>
      <c r="C199" s="4" t="n"/>
      <c r="D199" s="5" t="n"/>
      <c r="E199" s="5" t="n"/>
      <c r="F199" s="5" t="n"/>
      <c r="G199" s="5" t="n"/>
      <c r="H199" s="49" t="n"/>
      <c r="I199" s="50" t="n"/>
      <c r="J199" s="51" t="n"/>
      <c r="K199" s="51" t="n"/>
      <c r="L199" s="101" t="n"/>
      <c r="M199" s="139" t="n"/>
      <c r="N199" s="72" t="n"/>
      <c r="O199" s="102" t="n"/>
      <c r="P199" s="3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3" t="n"/>
      <c r="C200" s="4" t="n"/>
      <c r="D200" s="5" t="n"/>
      <c r="E200" s="5" t="n"/>
      <c r="F200" s="5" t="n"/>
      <c r="G200" s="5" t="n"/>
      <c r="H200" s="49" t="n"/>
      <c r="I200" s="50" t="n"/>
      <c r="J200" s="51" t="n"/>
      <c r="K200" s="51" t="n"/>
      <c r="L200" s="101" t="n"/>
      <c r="M200" s="139" t="n"/>
      <c r="N200" s="72" t="n"/>
      <c r="O200" s="102" t="n"/>
      <c r="P200" s="3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52" t="n"/>
      <c r="C201" s="4" t="n"/>
      <c r="D201" s="5" t="n"/>
      <c r="E201" s="5" t="n"/>
      <c r="F201" s="5" t="n"/>
      <c r="G201" s="5" t="n"/>
      <c r="H201" s="49" t="n"/>
      <c r="I201" s="50" t="n"/>
      <c r="J201" s="51" t="n"/>
      <c r="K201" s="51" t="n"/>
      <c r="L201" s="101" t="n"/>
      <c r="M201" s="139" t="n"/>
      <c r="N201" s="72" t="n"/>
      <c r="O201" s="102" t="n"/>
      <c r="P201" s="3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52" t="n"/>
      <c r="C202" s="4" t="n"/>
      <c r="D202" s="5" t="n"/>
      <c r="E202" s="5" t="n"/>
      <c r="F202" s="5" t="n"/>
      <c r="G202" s="5" t="n"/>
      <c r="H202" s="49" t="n"/>
      <c r="I202" s="50" t="n"/>
      <c r="J202" s="51" t="n"/>
      <c r="K202" s="51" t="n"/>
      <c r="L202" s="101" t="n"/>
      <c r="M202" s="139" t="n"/>
      <c r="N202" s="72" t="n"/>
      <c r="O202" s="102" t="n"/>
      <c r="P202" s="3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3" t="n"/>
      <c r="C203" s="4" t="n"/>
      <c r="D203" s="5" t="n"/>
      <c r="E203" s="5" t="n"/>
      <c r="F203" s="5" t="n"/>
      <c r="G203" s="5" t="n"/>
      <c r="H203" s="49" t="n"/>
      <c r="I203" s="50" t="n"/>
      <c r="J203" s="51" t="n"/>
      <c r="K203" s="51" t="n"/>
      <c r="L203" s="101" t="n"/>
      <c r="M203" s="139" t="n"/>
      <c r="N203" s="72" t="n"/>
      <c r="O203" s="102" t="n"/>
      <c r="P203" s="3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3" t="n"/>
      <c r="C204" s="4" t="n"/>
      <c r="D204" s="5" t="n"/>
      <c r="E204" s="5" t="n"/>
      <c r="F204" s="5" t="n"/>
      <c r="G204" s="5" t="n"/>
      <c r="H204" s="49" t="n"/>
      <c r="I204" s="50" t="n"/>
      <c r="J204" s="51" t="n"/>
      <c r="K204" s="51" t="n"/>
      <c r="L204" s="101" t="n"/>
      <c r="M204" s="139" t="n"/>
      <c r="N204" s="72" t="n"/>
      <c r="O204" s="102" t="n"/>
      <c r="P204" s="3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3" t="n"/>
      <c r="C205" s="4" t="n"/>
      <c r="D205" s="5" t="n"/>
      <c r="E205" s="5" t="n"/>
      <c r="F205" s="5" t="n"/>
      <c r="G205" s="5" t="n"/>
      <c r="H205" s="49" t="n"/>
      <c r="I205" s="50" t="n"/>
      <c r="J205" s="51" t="n"/>
      <c r="K205" s="51" t="n"/>
      <c r="L205" s="101" t="n"/>
      <c r="M205" s="139" t="n"/>
      <c r="N205" s="72" t="n"/>
      <c r="O205" s="102" t="n"/>
      <c r="P205" s="3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3" t="n"/>
      <c r="C206" s="4" t="n"/>
      <c r="D206" s="5" t="n"/>
      <c r="E206" s="5" t="n"/>
      <c r="F206" s="5" t="n"/>
      <c r="G206" s="5" t="n"/>
      <c r="H206" s="49" t="n"/>
      <c r="I206" s="50" t="n"/>
      <c r="J206" s="51" t="n"/>
      <c r="K206" s="51" t="n"/>
      <c r="L206" s="101" t="n"/>
      <c r="M206" s="139" t="n"/>
      <c r="N206" s="72" t="n"/>
      <c r="O206" s="102" t="n"/>
      <c r="P206" s="3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3" t="n"/>
      <c r="C207" s="4" t="n"/>
      <c r="D207" s="5" t="n"/>
      <c r="E207" s="5" t="n"/>
      <c r="F207" s="5" t="n"/>
      <c r="G207" s="5" t="n"/>
      <c r="H207" s="49" t="n"/>
      <c r="I207" s="50" t="n"/>
      <c r="J207" s="51" t="n"/>
      <c r="K207" s="51" t="n"/>
      <c r="L207" s="101" t="n"/>
      <c r="M207" s="149" t="n"/>
      <c r="N207" s="72" t="n"/>
      <c r="O207" s="102" t="n"/>
      <c r="P207" s="3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3" t="n"/>
      <c r="C208" s="4" t="n"/>
      <c r="D208" s="5" t="n"/>
      <c r="E208" s="5" t="n"/>
      <c r="F208" s="5" t="n"/>
      <c r="G208" s="5" t="n"/>
      <c r="H208" s="49" t="n"/>
      <c r="I208" s="50" t="n"/>
      <c r="J208" s="51" t="n"/>
      <c r="K208" s="51" t="n"/>
      <c r="L208" s="101" t="n"/>
      <c r="M208" s="139" t="n"/>
      <c r="N208" s="72" t="n"/>
      <c r="O208" s="102" t="n"/>
      <c r="P208" s="3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3" t="n"/>
      <c r="C209" s="4" t="n"/>
      <c r="D209" s="5" t="n"/>
      <c r="E209" s="5" t="n"/>
      <c r="F209" s="5" t="n"/>
      <c r="G209" s="5" t="n"/>
      <c r="H209" s="49" t="n"/>
      <c r="I209" s="50" t="n"/>
      <c r="J209" s="51" t="n"/>
      <c r="K209" s="51" t="n"/>
      <c r="L209" s="101" t="n"/>
      <c r="M209" s="139" t="n"/>
      <c r="N209" s="72" t="n"/>
      <c r="O209" s="102" t="n"/>
      <c r="P209" s="3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3" t="n"/>
      <c r="C210" s="4" t="n"/>
      <c r="D210" s="5" t="n"/>
      <c r="E210" s="5" t="n"/>
      <c r="F210" s="5" t="n"/>
      <c r="G210" s="5" t="n"/>
      <c r="H210" s="49" t="n"/>
      <c r="I210" s="50" t="n"/>
      <c r="J210" s="51" t="n"/>
      <c r="K210" s="51" t="n"/>
      <c r="L210" s="101" t="n"/>
      <c r="M210" s="139" t="n"/>
      <c r="N210" s="72" t="n"/>
      <c r="O210" s="102" t="n"/>
      <c r="P210" s="3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3" t="n"/>
      <c r="C211" s="4" t="n"/>
      <c r="D211" s="5" t="n"/>
      <c r="E211" s="5" t="n"/>
      <c r="F211" s="159" t="n"/>
      <c r="G211" s="159" t="n"/>
      <c r="H211" s="49" t="n"/>
      <c r="I211" s="50" t="n"/>
      <c r="J211" s="51" t="n"/>
      <c r="K211" s="51" t="n"/>
      <c r="L211" s="101" t="n"/>
      <c r="M211" s="176" t="n"/>
      <c r="N211" s="72" t="n"/>
      <c r="O211" s="102" t="n"/>
      <c r="P211" s="3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3" t="n"/>
      <c r="C212" s="4" t="n"/>
      <c r="D212" s="5" t="n"/>
      <c r="E212" s="5" t="n"/>
      <c r="F212" s="160" t="n"/>
      <c r="G212" s="159" t="n"/>
      <c r="H212" s="320" t="n"/>
      <c r="I212" s="320" t="n"/>
      <c r="J212" s="320" t="n"/>
      <c r="K212" s="51" t="n"/>
      <c r="L212" s="101" t="n"/>
      <c r="M212" s="340" t="n"/>
      <c r="N212" s="72" t="n"/>
      <c r="O212" s="102" t="n"/>
      <c r="P212" s="3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3" t="n"/>
      <c r="C213" s="4" t="n"/>
      <c r="D213" s="5" t="n"/>
      <c r="E213" s="5" t="n"/>
      <c r="F213" s="148" t="n"/>
      <c r="G213" s="5" t="n"/>
      <c r="H213" s="49" t="n"/>
      <c r="I213" s="50" t="n"/>
      <c r="J213" s="51" t="n"/>
      <c r="K213" s="51" t="n"/>
      <c r="L213" s="101" t="n"/>
      <c r="M213" s="139" t="n"/>
      <c r="N213" s="72" t="n"/>
      <c r="O213" s="102" t="n"/>
      <c r="P213" s="3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3" t="n"/>
      <c r="C214" s="4" t="n"/>
      <c r="D214" s="5" t="n"/>
      <c r="E214" s="5" t="n"/>
      <c r="F214" s="161" t="n"/>
      <c r="G214" s="5" t="n"/>
      <c r="H214" s="49" t="n"/>
      <c r="I214" s="58" t="n"/>
      <c r="J214" s="133" t="n"/>
      <c r="K214" s="133" t="n"/>
      <c r="L214" s="101" t="n"/>
      <c r="M214" s="139" t="n"/>
      <c r="N214" s="72" t="n"/>
      <c r="O214" s="102" t="n"/>
      <c r="P214" s="3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3" t="n"/>
      <c r="C215" s="4" t="n"/>
      <c r="D215" s="5" t="n"/>
      <c r="E215" s="5" t="n"/>
      <c r="F215" s="151" t="n"/>
      <c r="G215" s="5" t="n"/>
      <c r="H215" s="49" t="n"/>
      <c r="I215" s="50" t="n"/>
      <c r="J215" s="51" t="n"/>
      <c r="K215" s="51" t="n"/>
      <c r="L215" s="101" t="n"/>
      <c r="M215" s="176" t="n"/>
      <c r="N215" s="79" t="n"/>
      <c r="O215" s="102" t="n"/>
      <c r="P215" s="3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3" t="n"/>
      <c r="C216" s="4" t="n"/>
      <c r="D216" s="5" t="n"/>
      <c r="E216" s="5" t="n"/>
      <c r="F216" s="151" t="n"/>
      <c r="G216" s="5" t="n"/>
      <c r="H216" s="320" t="n"/>
      <c r="I216" s="320" t="n"/>
      <c r="J216" s="320" t="n"/>
      <c r="K216" s="320" t="n"/>
      <c r="L216" s="101" t="n"/>
      <c r="M216" s="340" t="n"/>
      <c r="N216" s="340" t="n"/>
      <c r="O216" s="102" t="n"/>
      <c r="P216" s="3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33" t="n"/>
      <c r="C217" s="137" t="n"/>
      <c r="D217" s="148" t="n"/>
      <c r="E217" s="148" t="n"/>
      <c r="F217" s="162" t="n"/>
      <c r="G217" s="5" t="n"/>
      <c r="H217" s="49" t="n"/>
      <c r="I217" s="58" t="n"/>
      <c r="J217" s="133" t="n"/>
      <c r="K217" s="163" t="n"/>
      <c r="L217" s="95" t="n"/>
      <c r="M217" s="139" t="n"/>
      <c r="N217" s="72" t="n"/>
      <c r="O217" s="164" t="n"/>
      <c r="P217" s="33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66" t="n"/>
      <c r="C218" s="108" t="n"/>
      <c r="D218" s="68" t="n"/>
      <c r="E218" s="68" t="n"/>
      <c r="F218" s="166" t="n"/>
      <c r="G218" s="5" t="n"/>
      <c r="H218" s="69" t="n"/>
      <c r="I218" s="70" t="n"/>
      <c r="J218" s="79" t="n"/>
      <c r="K218" s="345" t="n"/>
      <c r="L218" s="174" t="n"/>
      <c r="M218" s="176" t="n"/>
      <c r="N218" s="79" t="n"/>
      <c r="O218" s="169" t="n"/>
      <c r="P218" s="108" t="n"/>
      <c r="Q218" s="66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66" t="n"/>
      <c r="C219" s="108" t="n"/>
      <c r="D219" s="68" t="n"/>
      <c r="E219" s="68" t="n"/>
      <c r="F219" s="172" t="n"/>
      <c r="G219" s="5" t="n"/>
      <c r="H219" s="340" t="n"/>
      <c r="I219" s="340" t="n"/>
      <c r="J219" s="340" t="n"/>
      <c r="K219" s="340" t="n"/>
      <c r="L219" s="346" t="n"/>
      <c r="M219" s="340" t="n"/>
      <c r="N219" s="340" t="n"/>
      <c r="O219" s="169" t="n"/>
      <c r="P219" s="340" t="n"/>
      <c r="Q219" s="66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66" t="n"/>
      <c r="C220" s="108" t="n"/>
      <c r="D220" s="68" t="n"/>
      <c r="E220" s="68" t="n"/>
      <c r="F220" s="68" t="n"/>
      <c r="G220" s="5" t="n"/>
      <c r="H220" s="82" t="n"/>
      <c r="I220" s="70" t="n"/>
      <c r="J220" s="79" t="n"/>
      <c r="K220" s="345" t="n"/>
      <c r="L220" s="174" t="n"/>
      <c r="M220" s="176" t="n"/>
      <c r="N220" s="79" t="n"/>
      <c r="O220" s="169" t="n"/>
      <c r="P220" s="66" t="n"/>
      <c r="Q220" s="66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66" t="n"/>
      <c r="C221" s="108" t="n"/>
      <c r="D221" s="68" t="n"/>
      <c r="E221" s="68" t="n"/>
      <c r="F221" s="68" t="n"/>
      <c r="G221" s="5" t="n"/>
      <c r="H221" s="343" t="n"/>
      <c r="I221" s="343" t="n"/>
      <c r="J221" s="343" t="n"/>
      <c r="K221" s="343" t="n"/>
      <c r="L221" s="174" t="n"/>
      <c r="M221" s="343" t="n"/>
      <c r="N221" s="343" t="n"/>
      <c r="O221" s="169" t="n"/>
      <c r="P221" s="66" t="n"/>
      <c r="Q221" s="66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66" t="n"/>
      <c r="C222" s="108" t="n"/>
      <c r="D222" s="68" t="n"/>
      <c r="E222" s="68" t="n"/>
      <c r="F222" s="68" t="n"/>
      <c r="G222" s="148" t="n"/>
      <c r="H222" s="343" t="n"/>
      <c r="I222" s="340" t="n"/>
      <c r="J222" s="340" t="n"/>
      <c r="K222" s="340" t="n"/>
      <c r="L222" s="174" t="n"/>
      <c r="M222" s="340" t="n"/>
      <c r="N222" s="340" t="n"/>
      <c r="O222" s="169" t="n"/>
      <c r="P222" s="66" t="n"/>
      <c r="Q222" s="66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66" t="n"/>
      <c r="C223" s="108" t="n"/>
      <c r="D223" s="68" t="n"/>
      <c r="E223" s="68" t="n"/>
      <c r="F223" s="68" t="n"/>
      <c r="G223" s="68" t="n"/>
      <c r="H223" s="69" t="n"/>
      <c r="I223" s="91" t="n"/>
      <c r="J223" s="93" t="n"/>
      <c r="K223" s="175" t="n"/>
      <c r="L223" s="174" t="n"/>
      <c r="M223" s="176" t="n"/>
      <c r="N223" s="79" t="n"/>
      <c r="O223" s="169" t="n"/>
      <c r="P223" s="66" t="n"/>
      <c r="Q223" s="66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66" t="n"/>
      <c r="C224" s="108" t="n"/>
      <c r="D224" s="68" t="n"/>
      <c r="E224" s="68" t="n"/>
      <c r="F224" s="68" t="n"/>
      <c r="G224" s="68" t="n"/>
      <c r="H224" s="69" t="n"/>
      <c r="I224" s="70" t="n"/>
      <c r="J224" s="79" t="n"/>
      <c r="K224" s="177" t="n"/>
      <c r="L224" s="174" t="n"/>
      <c r="M224" s="139" t="n"/>
      <c r="N224" s="72" t="n"/>
      <c r="O224" s="169" t="n"/>
      <c r="P224" s="66" t="n"/>
      <c r="Q224" s="66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66" t="n"/>
      <c r="C225" s="108" t="n"/>
      <c r="D225" s="68" t="n"/>
      <c r="E225" s="68" t="n"/>
      <c r="F225" s="68" t="n"/>
      <c r="G225" s="178" t="n"/>
      <c r="H225" s="100" t="n"/>
      <c r="I225" s="91" t="n"/>
      <c r="J225" s="93" t="n"/>
      <c r="K225" s="175" t="n"/>
      <c r="L225" s="174" t="n"/>
      <c r="M225" s="176" t="n"/>
      <c r="N225" s="79" t="n"/>
      <c r="O225" s="169" t="n"/>
      <c r="P225" s="66" t="n"/>
      <c r="Q225" s="66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66" t="n"/>
      <c r="C226" s="108" t="n"/>
      <c r="D226" s="68" t="n"/>
      <c r="E226" s="68" t="n"/>
      <c r="F226" s="68" t="n"/>
      <c r="G226" s="68" t="n"/>
      <c r="H226" s="69" t="n"/>
      <c r="I226" s="70" t="n"/>
      <c r="J226" s="79" t="n"/>
      <c r="K226" s="177" t="n"/>
      <c r="L226" s="174" t="n"/>
      <c r="M226" s="139" t="n"/>
      <c r="N226" s="72" t="n"/>
      <c r="O226" s="169" t="n"/>
      <c r="P226" s="66" t="n"/>
      <c r="Q226" s="66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66" t="n"/>
      <c r="C227" s="108" t="n"/>
      <c r="D227" s="68" t="n"/>
      <c r="E227" s="68" t="n"/>
      <c r="F227" s="68" t="n"/>
      <c r="G227" s="68" t="n"/>
      <c r="H227" s="69" t="n"/>
      <c r="I227" s="70" t="n"/>
      <c r="J227" s="79" t="n"/>
      <c r="K227" s="177" t="n"/>
      <c r="L227" s="174" t="n"/>
      <c r="M227" s="139" t="n"/>
      <c r="N227" s="72" t="n"/>
      <c r="O227" s="169" t="n"/>
      <c r="P227" s="66" t="n"/>
      <c r="Q227" s="66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66" t="n"/>
      <c r="C228" s="108" t="n"/>
      <c r="D228" s="68" t="n"/>
      <c r="E228" s="68" t="n"/>
      <c r="F228" s="68" t="n"/>
      <c r="G228" s="68" t="n"/>
      <c r="H228" s="69" t="n"/>
      <c r="I228" s="70" t="n"/>
      <c r="J228" s="79" t="n"/>
      <c r="K228" s="177" t="n"/>
      <c r="L228" s="174" t="n"/>
      <c r="M228" s="139" t="n"/>
      <c r="N228" s="72" t="n"/>
      <c r="O228" s="169" t="n"/>
      <c r="P228" s="66" t="n"/>
      <c r="Q228" s="66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66" t="n"/>
      <c r="C229" s="108" t="n"/>
      <c r="D229" s="68" t="n"/>
      <c r="E229" s="68" t="n"/>
      <c r="F229" s="68" t="n"/>
      <c r="G229" s="68" t="n"/>
      <c r="H229" s="69" t="n"/>
      <c r="I229" s="70" t="n"/>
      <c r="J229" s="79" t="n"/>
      <c r="K229" s="177" t="n"/>
      <c r="L229" s="174" t="n"/>
      <c r="M229" s="139" t="n"/>
      <c r="N229" s="72" t="n"/>
      <c r="O229" s="169" t="n"/>
      <c r="P229" s="66" t="n"/>
      <c r="Q229" s="66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66" t="n"/>
      <c r="C230" s="108" t="n"/>
      <c r="D230" s="68" t="n"/>
      <c r="E230" s="87" t="n"/>
      <c r="F230" s="68" t="n"/>
      <c r="G230" s="87" t="n"/>
      <c r="H230" s="69" t="n"/>
      <c r="I230" s="70" t="n"/>
      <c r="J230" s="79" t="n"/>
      <c r="K230" s="177" t="n"/>
      <c r="L230" s="174" t="n"/>
      <c r="M230" s="139" t="n"/>
      <c r="N230" s="72" t="n"/>
      <c r="O230" s="169" t="n"/>
      <c r="P230" s="66" t="n"/>
      <c r="Q230" s="66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66" t="n"/>
      <c r="C231" s="108" t="n"/>
      <c r="D231" s="68" t="n"/>
      <c r="E231" s="87" t="n"/>
      <c r="F231" s="68" t="n"/>
      <c r="G231" s="180" t="n"/>
      <c r="H231" s="69" t="n"/>
      <c r="I231" s="83" t="n"/>
      <c r="J231" s="86" t="n"/>
      <c r="K231" s="177" t="n"/>
      <c r="L231" s="174" t="n"/>
      <c r="M231" s="181" t="n"/>
      <c r="N231" s="72" t="n"/>
      <c r="O231" s="169" t="n"/>
      <c r="P231" s="66" t="n"/>
      <c r="Q231" s="66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66" t="n"/>
      <c r="C232" s="108" t="n"/>
      <c r="D232" s="68" t="n"/>
      <c r="E232" s="87" t="n"/>
      <c r="F232" s="68" t="n"/>
      <c r="G232" s="180" t="n"/>
      <c r="H232" s="69" t="n"/>
      <c r="I232" s="83" t="n"/>
      <c r="J232" s="86" t="n"/>
      <c r="K232" s="177" t="n"/>
      <c r="L232" s="174" t="n"/>
      <c r="M232" s="181" t="n"/>
      <c r="N232" s="72" t="n"/>
      <c r="O232" s="169" t="n"/>
      <c r="P232" s="66" t="n"/>
      <c r="Q232" s="66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66" t="n"/>
      <c r="C233" s="108" t="n"/>
      <c r="D233" s="68" t="n"/>
      <c r="E233" s="87" t="n"/>
      <c r="F233" s="68" t="n"/>
      <c r="G233" s="68" t="n"/>
      <c r="H233" s="69" t="n"/>
      <c r="I233" s="70" t="n"/>
      <c r="J233" s="79" t="n"/>
      <c r="K233" s="177" t="n"/>
      <c r="L233" s="174" t="n"/>
      <c r="M233" s="176" t="n"/>
      <c r="N233" s="72" t="n"/>
      <c r="O233" s="169" t="n"/>
      <c r="P233" s="66" t="n"/>
      <c r="Q233" s="66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66" t="n"/>
      <c r="C234" s="108" t="n"/>
      <c r="D234" s="68" t="n"/>
      <c r="E234" s="87" t="n"/>
      <c r="F234" s="68" t="n"/>
      <c r="G234" s="340" t="n"/>
      <c r="H234" s="340" t="n"/>
      <c r="I234" s="340" t="n"/>
      <c r="J234" s="340" t="n"/>
      <c r="K234" s="177" t="n"/>
      <c r="L234" s="174" t="n"/>
      <c r="M234" s="340" t="n"/>
      <c r="N234" s="72" t="n"/>
      <c r="O234" s="169" t="n"/>
      <c r="P234" s="66" t="n"/>
      <c r="Q234" s="66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66" t="n"/>
      <c r="C235" s="108" t="n"/>
      <c r="D235" s="68" t="n"/>
      <c r="E235" s="87" t="n"/>
      <c r="F235" s="68" t="n"/>
      <c r="G235" s="68" t="n"/>
      <c r="H235" s="69" t="n"/>
      <c r="I235" s="70" t="n"/>
      <c r="J235" s="79" t="n"/>
      <c r="K235" s="177" t="n"/>
      <c r="L235" s="174" t="n"/>
      <c r="M235" s="139" t="n"/>
      <c r="N235" s="72" t="n"/>
      <c r="O235" s="169" t="n"/>
      <c r="P235" s="66" t="n"/>
      <c r="Q235" s="66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66" t="n"/>
      <c r="C236" s="108" t="n"/>
      <c r="D236" s="68" t="n"/>
      <c r="E236" s="87" t="n"/>
      <c r="F236" s="68" t="n"/>
      <c r="G236" s="68" t="n"/>
      <c r="H236" s="69" t="n"/>
      <c r="I236" s="70" t="n"/>
      <c r="J236" s="79" t="n"/>
      <c r="K236" s="177" t="n"/>
      <c r="L236" s="174" t="n"/>
      <c r="M236" s="139" t="n"/>
      <c r="N236" s="72" t="n"/>
      <c r="O236" s="169" t="n"/>
      <c r="P236" s="66" t="n"/>
      <c r="Q236" s="66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66" t="n"/>
      <c r="C237" s="108" t="n"/>
      <c r="D237" s="68" t="n"/>
      <c r="E237" s="87" t="n"/>
      <c r="F237" s="68" t="n"/>
      <c r="G237" s="68" t="n"/>
      <c r="H237" s="69" t="n"/>
      <c r="I237" s="70" t="n"/>
      <c r="J237" s="79" t="n"/>
      <c r="K237" s="177" t="n"/>
      <c r="L237" s="174" t="n"/>
      <c r="M237" s="139" t="n"/>
      <c r="N237" s="72" t="n"/>
      <c r="O237" s="169" t="n"/>
      <c r="P237" s="66" t="n"/>
      <c r="Q237" s="66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66" t="n"/>
      <c r="C238" s="108" t="n"/>
      <c r="D238" s="68" t="n"/>
      <c r="E238" s="87" t="n"/>
      <c r="F238" s="68" t="n"/>
      <c r="G238" s="68" t="n"/>
      <c r="H238" s="69" t="n"/>
      <c r="I238" s="70" t="n"/>
      <c r="J238" s="79" t="n"/>
      <c r="K238" s="177" t="n"/>
      <c r="L238" s="174" t="n"/>
      <c r="M238" s="176" t="n"/>
      <c r="N238" s="72" t="n"/>
      <c r="O238" s="169" t="n"/>
      <c r="P238" s="66" t="n"/>
      <c r="Q238" s="66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66" t="n"/>
      <c r="C239" s="108" t="n"/>
      <c r="D239" s="68" t="n"/>
      <c r="E239" s="87" t="n"/>
      <c r="F239" s="340" t="n"/>
      <c r="G239" s="340" t="n"/>
      <c r="H239" s="340" t="n"/>
      <c r="I239" s="340" t="n"/>
      <c r="J239" s="340" t="n"/>
      <c r="K239" s="177" t="n"/>
      <c r="L239" s="174" t="n"/>
      <c r="M239" s="340" t="n"/>
      <c r="N239" s="72" t="n"/>
      <c r="O239" s="169" t="n"/>
      <c r="P239" s="66" t="n"/>
      <c r="Q239" s="66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66" t="n"/>
      <c r="C240" s="108" t="n"/>
      <c r="D240" s="68" t="n"/>
      <c r="E240" s="87" t="n"/>
      <c r="F240" s="68" t="n"/>
      <c r="G240" s="180" t="n"/>
      <c r="H240" s="82" t="n"/>
      <c r="I240" s="83" t="n"/>
      <c r="J240" s="86" t="n"/>
      <c r="K240" s="177" t="n"/>
      <c r="L240" s="174" t="n"/>
      <c r="M240" s="134" t="n"/>
      <c r="N240" s="72" t="n"/>
      <c r="O240" s="169" t="n"/>
      <c r="P240" s="66" t="n"/>
      <c r="Q240" s="66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66" t="n"/>
      <c r="C241" s="108" t="n"/>
      <c r="D241" s="68" t="n"/>
      <c r="E241" s="87" t="n"/>
      <c r="F241" s="68" t="n"/>
      <c r="G241" s="68" t="n"/>
      <c r="H241" s="69" t="n"/>
      <c r="I241" s="70" t="n"/>
      <c r="J241" s="79" t="n"/>
      <c r="K241" s="177" t="n"/>
      <c r="L241" s="174" t="n"/>
      <c r="M241" s="176" t="n"/>
      <c r="N241" s="72" t="n"/>
      <c r="O241" s="169" t="n"/>
      <c r="P241" s="66" t="n"/>
      <c r="Q241" s="66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66" t="n"/>
      <c r="C242" s="108" t="n"/>
      <c r="D242" s="68" t="n"/>
      <c r="E242" s="87" t="n"/>
      <c r="F242" s="68" t="n"/>
      <c r="G242" s="340" t="n"/>
      <c r="H242" s="340" t="n"/>
      <c r="I242" s="340" t="n"/>
      <c r="J242" s="340" t="n"/>
      <c r="K242" s="177" t="n"/>
      <c r="L242" s="174" t="n"/>
      <c r="M242" s="340" t="n"/>
      <c r="N242" s="72" t="n"/>
      <c r="O242" s="169" t="n"/>
      <c r="P242" s="66" t="n"/>
      <c r="Q242" s="66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66" t="n"/>
      <c r="C243" s="108" t="n"/>
      <c r="D243" s="68" t="n"/>
      <c r="E243" s="87" t="n"/>
      <c r="F243" s="68" t="n"/>
      <c r="G243" s="178" t="n"/>
      <c r="H243" s="100" t="n"/>
      <c r="I243" s="91" t="n"/>
      <c r="J243" s="93" t="n"/>
      <c r="K243" s="177" t="n"/>
      <c r="L243" s="174" t="n"/>
      <c r="M243" s="189" t="n"/>
      <c r="N243" s="72" t="n"/>
      <c r="O243" s="169" t="n"/>
      <c r="P243" s="66" t="n"/>
      <c r="Q243" s="66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66" t="n"/>
      <c r="C244" s="108" t="n"/>
      <c r="D244" s="68" t="n"/>
      <c r="E244" s="87" t="n"/>
      <c r="F244" s="68" t="n"/>
      <c r="G244" s="178" t="n"/>
      <c r="H244" s="100" t="n"/>
      <c r="I244" s="91" t="n"/>
      <c r="J244" s="93" t="n"/>
      <c r="K244" s="177" t="n"/>
      <c r="L244" s="174" t="n"/>
      <c r="M244" s="189" t="n"/>
      <c r="N244" s="72" t="n"/>
      <c r="O244" s="169" t="n"/>
      <c r="P244" s="66" t="n"/>
      <c r="Q244" s="66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66" t="n"/>
      <c r="C245" s="108" t="n"/>
      <c r="D245" s="68" t="n"/>
      <c r="E245" s="87" t="n"/>
      <c r="F245" s="68" t="n"/>
      <c r="G245" s="68" t="n"/>
      <c r="H245" s="69" t="n"/>
      <c r="I245" s="70" t="n"/>
      <c r="J245" s="79" t="n"/>
      <c r="K245" s="177" t="n"/>
      <c r="L245" s="174" t="n"/>
      <c r="M245" s="176" t="n"/>
      <c r="N245" s="72" t="n"/>
      <c r="O245" s="169" t="n"/>
      <c r="P245" s="66" t="n"/>
      <c r="Q245" s="66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66" t="n"/>
      <c r="C246" s="108" t="n"/>
      <c r="D246" s="68" t="n"/>
      <c r="E246" s="87" t="n"/>
      <c r="F246" s="68" t="n"/>
      <c r="G246" s="340" t="n"/>
      <c r="H246" s="340" t="n"/>
      <c r="I246" s="340" t="n"/>
      <c r="J246" s="340" t="n"/>
      <c r="K246" s="177" t="n"/>
      <c r="L246" s="174" t="n"/>
      <c r="M246" s="340" t="n"/>
      <c r="N246" s="72" t="n"/>
      <c r="O246" s="169" t="n"/>
      <c r="P246" s="66" t="n"/>
      <c r="Q246" s="66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66" t="n"/>
      <c r="C247" s="108" t="n"/>
      <c r="D247" s="68" t="n"/>
      <c r="E247" s="87" t="n"/>
      <c r="F247" s="68" t="n"/>
      <c r="G247" s="178" t="n"/>
      <c r="H247" s="100" t="n"/>
      <c r="I247" s="91" t="n"/>
      <c r="J247" s="93" t="n"/>
      <c r="K247" s="177" t="n"/>
      <c r="L247" s="174" t="n"/>
      <c r="M247" s="189" t="n"/>
      <c r="N247" s="72" t="n"/>
      <c r="O247" s="169" t="n"/>
      <c r="P247" s="66" t="n"/>
      <c r="Q247" s="66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66" t="n"/>
      <c r="C248" s="108" t="n"/>
      <c r="D248" s="68" t="n"/>
      <c r="E248" s="87" t="n"/>
      <c r="F248" s="68" t="n"/>
      <c r="G248" s="68" t="n"/>
      <c r="H248" s="69" t="n"/>
      <c r="I248" s="70" t="n"/>
      <c r="J248" s="79" t="n"/>
      <c r="K248" s="177" t="n"/>
      <c r="L248" s="174" t="n"/>
      <c r="M248" s="176" t="n"/>
      <c r="N248" s="72" t="n"/>
      <c r="O248" s="169" t="n"/>
      <c r="P248" s="66" t="n"/>
      <c r="Q248" s="66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66" t="n"/>
      <c r="C249" s="108" t="n"/>
      <c r="D249" s="68" t="n"/>
      <c r="E249" s="87" t="n"/>
      <c r="F249" s="68" t="n"/>
      <c r="G249" s="340" t="n"/>
      <c r="H249" s="340" t="n"/>
      <c r="I249" s="340" t="n"/>
      <c r="J249" s="340" t="n"/>
      <c r="K249" s="177" t="n"/>
      <c r="L249" s="174" t="n"/>
      <c r="M249" s="340" t="n"/>
      <c r="N249" s="72" t="n"/>
      <c r="O249" s="169" t="n"/>
      <c r="P249" s="66" t="n"/>
      <c r="Q249" s="66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66" t="n"/>
      <c r="C250" s="108" t="n"/>
      <c r="D250" s="68" t="n"/>
      <c r="E250" s="87" t="n"/>
      <c r="F250" s="68" t="n"/>
      <c r="G250" s="178" t="n"/>
      <c r="H250" s="100" t="n"/>
      <c r="I250" s="91" t="n"/>
      <c r="J250" s="93" t="n"/>
      <c r="K250" s="177" t="n"/>
      <c r="L250" s="174" t="n"/>
      <c r="M250" s="189" t="n"/>
      <c r="N250" s="72" t="n"/>
      <c r="O250" s="169" t="n"/>
      <c r="P250" s="66" t="n"/>
      <c r="Q250" s="66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66" t="n"/>
      <c r="C251" s="108" t="n"/>
      <c r="D251" s="68" t="n"/>
      <c r="E251" s="87" t="n"/>
      <c r="F251" s="68" t="n"/>
      <c r="G251" s="178" t="n"/>
      <c r="H251" s="100" t="n"/>
      <c r="I251" s="91" t="n"/>
      <c r="J251" s="93" t="n"/>
      <c r="K251" s="177" t="n"/>
      <c r="L251" s="174" t="n"/>
      <c r="M251" s="189" t="n"/>
      <c r="N251" s="72" t="n"/>
      <c r="O251" s="169" t="n"/>
      <c r="P251" s="66" t="n"/>
      <c r="Q251" s="66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66" t="n"/>
      <c r="C252" s="108" t="n"/>
      <c r="D252" s="68" t="n"/>
      <c r="E252" s="68" t="n"/>
      <c r="F252" s="68" t="n"/>
      <c r="G252" s="178" t="n"/>
      <c r="H252" s="100" t="n"/>
      <c r="I252" s="91" t="n"/>
      <c r="J252" s="93" t="n"/>
      <c r="K252" s="177" t="n"/>
      <c r="L252" s="174" t="n"/>
      <c r="M252" s="189" t="n"/>
      <c r="N252" s="72" t="n"/>
      <c r="O252" s="169" t="n"/>
      <c r="P252" s="66" t="n"/>
      <c r="Q252" s="66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66" t="n"/>
      <c r="C253" s="108" t="n"/>
      <c r="D253" s="68" t="n"/>
      <c r="E253" s="68" t="n"/>
      <c r="F253" s="68" t="n"/>
      <c r="G253" s="178" t="n"/>
      <c r="H253" s="100" t="n"/>
      <c r="I253" s="91" t="n"/>
      <c r="J253" s="93" t="n"/>
      <c r="K253" s="177" t="n"/>
      <c r="L253" s="174" t="n"/>
      <c r="M253" s="189" t="n"/>
      <c r="N253" s="72" t="n"/>
      <c r="O253" s="169" t="n"/>
      <c r="P253" s="66" t="n"/>
      <c r="Q253" s="66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66" t="n"/>
      <c r="C254" s="108" t="n"/>
      <c r="D254" s="68" t="n"/>
      <c r="E254" s="68" t="n"/>
      <c r="F254" s="68" t="n"/>
      <c r="G254" s="99" t="n"/>
      <c r="H254" s="100" t="n"/>
      <c r="I254" s="91" t="n"/>
      <c r="J254" s="93" t="n"/>
      <c r="K254" s="177" t="n"/>
      <c r="L254" s="174" t="n"/>
      <c r="M254" s="189" t="n"/>
      <c r="N254" s="72" t="n"/>
      <c r="O254" s="169" t="n"/>
      <c r="P254" s="66" t="n"/>
      <c r="Q254" s="66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66" t="n"/>
      <c r="C255" s="108" t="n"/>
      <c r="D255" s="68" t="n"/>
      <c r="E255" s="68" t="n"/>
      <c r="F255" s="180" t="n"/>
      <c r="G255" s="124" t="n"/>
      <c r="H255" s="119" t="n"/>
      <c r="I255" s="120" t="n"/>
      <c r="J255" s="121" t="n"/>
      <c r="K255" s="177" t="n"/>
      <c r="L255" s="174" t="n"/>
      <c r="M255" s="194" t="n"/>
      <c r="N255" s="72" t="n"/>
      <c r="O255" s="169" t="n"/>
      <c r="P255" s="66" t="n"/>
      <c r="Q255" s="66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66" t="n"/>
      <c r="C256" s="108" t="n"/>
      <c r="D256" s="68" t="n"/>
      <c r="E256" s="68" t="n"/>
      <c r="F256" s="68" t="n"/>
      <c r="G256" s="87" t="n"/>
      <c r="H256" s="69" t="n"/>
      <c r="I256" s="70" t="n"/>
      <c r="J256" s="79" t="n"/>
      <c r="K256" s="177" t="n"/>
      <c r="L256" s="174" t="n"/>
      <c r="M256" s="176" t="n"/>
      <c r="N256" s="72" t="n"/>
      <c r="O256" s="169" t="n"/>
      <c r="P256" s="66" t="n"/>
      <c r="Q256" s="66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66" t="n"/>
      <c r="C257" s="108" t="n"/>
      <c r="D257" s="68" t="n"/>
      <c r="E257" s="68" t="n"/>
      <c r="F257" s="340" t="n"/>
      <c r="G257" s="340" t="n"/>
      <c r="H257" s="340" t="n"/>
      <c r="I257" s="340" t="n"/>
      <c r="J257" s="340" t="n"/>
      <c r="K257" s="177" t="n"/>
      <c r="L257" s="174" t="n"/>
      <c r="M257" s="340" t="n"/>
      <c r="N257" s="72" t="n"/>
      <c r="O257" s="169" t="n"/>
      <c r="P257" s="66" t="n"/>
      <c r="Q257" s="66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66" t="n"/>
      <c r="C258" s="108" t="n"/>
      <c r="D258" s="68" t="n"/>
      <c r="E258" s="68" t="n"/>
      <c r="F258" s="178" t="n"/>
      <c r="G258" s="87" t="n"/>
      <c r="H258" s="69" t="n"/>
      <c r="I258" s="70" t="n"/>
      <c r="J258" s="79" t="n"/>
      <c r="K258" s="177" t="n"/>
      <c r="L258" s="174" t="n"/>
      <c r="M258" s="176" t="n"/>
      <c r="N258" s="72" t="n"/>
      <c r="O258" s="169" t="n"/>
      <c r="P258" s="66" t="n"/>
      <c r="Q258" s="66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66" t="n"/>
      <c r="C259" s="108" t="n"/>
      <c r="D259" s="68" t="n"/>
      <c r="E259" s="68" t="n"/>
      <c r="F259" s="178" t="n"/>
      <c r="G259" s="340" t="n"/>
      <c r="H259" s="340" t="n"/>
      <c r="I259" s="340" t="n"/>
      <c r="J259" s="340" t="n"/>
      <c r="K259" s="177" t="n"/>
      <c r="L259" s="174" t="n"/>
      <c r="M259" s="340" t="n"/>
      <c r="N259" s="72" t="n"/>
      <c r="O259" s="169" t="n"/>
      <c r="P259" s="66" t="n"/>
      <c r="Q259" s="66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66" t="n"/>
      <c r="C260" s="108" t="n"/>
      <c r="D260" s="68" t="n"/>
      <c r="E260" s="68" t="n"/>
      <c r="F260" s="178" t="n"/>
      <c r="G260" s="124" t="n"/>
      <c r="H260" s="119" t="n"/>
      <c r="I260" s="120" t="n"/>
      <c r="J260" s="121" t="n"/>
      <c r="K260" s="177" t="n"/>
      <c r="L260" s="174" t="n"/>
      <c r="M260" s="194" t="n"/>
      <c r="N260" s="72" t="n"/>
      <c r="O260" s="169" t="n"/>
      <c r="P260" s="66" t="n"/>
      <c r="Q260" s="66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66" t="n"/>
      <c r="C261" s="108" t="n"/>
      <c r="D261" s="68" t="n"/>
      <c r="E261" s="68" t="n"/>
      <c r="F261" s="178" t="n"/>
      <c r="G261" s="87" t="n"/>
      <c r="H261" s="69" t="n"/>
      <c r="I261" s="70" t="n"/>
      <c r="J261" s="79" t="n"/>
      <c r="K261" s="177" t="n"/>
      <c r="L261" s="174" t="n"/>
      <c r="M261" s="176" t="n"/>
      <c r="N261" s="72" t="n"/>
      <c r="O261" s="169" t="n"/>
      <c r="P261" s="66" t="n"/>
      <c r="Q261" s="66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66" t="n"/>
      <c r="C262" s="108" t="n"/>
      <c r="D262" s="68" t="n"/>
      <c r="E262" s="68" t="n"/>
      <c r="F262" s="178" t="n"/>
      <c r="G262" s="340" t="n"/>
      <c r="H262" s="340" t="n"/>
      <c r="I262" s="340" t="n"/>
      <c r="J262" s="340" t="n"/>
      <c r="K262" s="177" t="n"/>
      <c r="L262" s="174" t="n"/>
      <c r="M262" s="340" t="n"/>
      <c r="N262" s="72" t="n"/>
      <c r="O262" s="169" t="n"/>
      <c r="P262" s="66" t="n"/>
      <c r="Q262" s="66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66" t="n"/>
      <c r="C263" s="108" t="n"/>
      <c r="D263" s="68" t="n"/>
      <c r="E263" s="68" t="n"/>
      <c r="F263" s="178" t="n"/>
      <c r="G263" s="99" t="n"/>
      <c r="H263" s="100" t="n"/>
      <c r="I263" s="91" t="n"/>
      <c r="J263" s="93" t="n"/>
      <c r="K263" s="177" t="n"/>
      <c r="L263" s="174" t="n"/>
      <c r="M263" s="189" t="n"/>
      <c r="N263" s="72" t="n"/>
      <c r="O263" s="169" t="n"/>
      <c r="P263" s="66" t="n"/>
      <c r="Q263" s="66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66" t="n"/>
      <c r="C264" s="108" t="n"/>
      <c r="D264" s="68" t="n"/>
      <c r="E264" s="68" t="n"/>
      <c r="F264" s="178" t="n"/>
      <c r="G264" s="99" t="n"/>
      <c r="H264" s="100" t="n"/>
      <c r="I264" s="91" t="n"/>
      <c r="J264" s="93" t="n"/>
      <c r="K264" s="177" t="n"/>
      <c r="L264" s="174" t="n"/>
      <c r="M264" s="189" t="n"/>
      <c r="N264" s="72" t="n"/>
      <c r="O264" s="169" t="n"/>
      <c r="P264" s="66" t="n"/>
      <c r="Q264" s="66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66" t="n"/>
      <c r="C265" s="108" t="n"/>
      <c r="D265" s="68" t="n"/>
      <c r="E265" s="68" t="n"/>
      <c r="F265" s="178" t="n"/>
      <c r="G265" s="99" t="n"/>
      <c r="H265" s="100" t="n"/>
      <c r="I265" s="91" t="n"/>
      <c r="J265" s="93" t="n"/>
      <c r="K265" s="177" t="n"/>
      <c r="L265" s="174" t="n"/>
      <c r="M265" s="189" t="n"/>
      <c r="N265" s="72" t="n"/>
      <c r="O265" s="169" t="n"/>
      <c r="P265" s="66" t="n"/>
      <c r="Q265" s="66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66" t="n"/>
      <c r="C266" s="108" t="n"/>
      <c r="D266" s="68" t="n"/>
      <c r="E266" s="68" t="n"/>
      <c r="F266" s="178" t="n"/>
      <c r="G266" s="99" t="n"/>
      <c r="H266" s="100" t="n"/>
      <c r="I266" s="91" t="n"/>
      <c r="J266" s="93" t="n"/>
      <c r="K266" s="177" t="n"/>
      <c r="L266" s="174" t="n"/>
      <c r="M266" s="189" t="n"/>
      <c r="N266" s="72" t="n"/>
      <c r="O266" s="169" t="n"/>
      <c r="P266" s="66" t="n"/>
      <c r="Q266" s="66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66" t="n"/>
      <c r="C267" s="108" t="n"/>
      <c r="D267" s="68" t="n"/>
      <c r="E267" s="68" t="n"/>
      <c r="F267" s="178" t="n"/>
      <c r="G267" s="99" t="n"/>
      <c r="H267" s="100" t="n"/>
      <c r="I267" s="91" t="n"/>
      <c r="J267" s="93" t="n"/>
      <c r="K267" s="177" t="n"/>
      <c r="L267" s="174" t="n"/>
      <c r="M267" s="189" t="n"/>
      <c r="N267" s="72" t="n"/>
      <c r="O267" s="169" t="n"/>
      <c r="P267" s="66" t="n"/>
      <c r="Q267" s="66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66" t="n"/>
      <c r="C268" s="108" t="n"/>
      <c r="D268" s="68" t="n"/>
      <c r="E268" s="68" t="n"/>
      <c r="F268" s="178" t="n"/>
      <c r="G268" s="99" t="n"/>
      <c r="H268" s="100" t="n"/>
      <c r="I268" s="91" t="n"/>
      <c r="J268" s="93" t="n"/>
      <c r="K268" s="177" t="n"/>
      <c r="L268" s="174" t="n"/>
      <c r="M268" s="189" t="n"/>
      <c r="N268" s="72" t="n"/>
      <c r="O268" s="169" t="n"/>
      <c r="P268" s="66" t="n"/>
      <c r="Q268" s="66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66" t="n"/>
      <c r="C269" s="108" t="n"/>
      <c r="D269" s="68" t="n"/>
      <c r="E269" s="68" t="n"/>
      <c r="F269" s="178" t="n"/>
      <c r="G269" s="99" t="n"/>
      <c r="H269" s="100" t="n"/>
      <c r="I269" s="91" t="n"/>
      <c r="J269" s="93" t="n"/>
      <c r="K269" s="177" t="n"/>
      <c r="L269" s="174" t="n"/>
      <c r="M269" s="189" t="n"/>
      <c r="N269" s="72" t="n"/>
      <c r="O269" s="169" t="n"/>
      <c r="P269" s="66" t="n"/>
      <c r="Q269" s="66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66" t="n"/>
      <c r="C270" s="108" t="n"/>
      <c r="D270" s="68" t="n"/>
      <c r="E270" s="68" t="n"/>
      <c r="F270" s="68" t="n"/>
      <c r="G270" s="87" t="n"/>
      <c r="H270" s="69" t="n"/>
      <c r="I270" s="70" t="n"/>
      <c r="J270" s="79" t="n"/>
      <c r="K270" s="177" t="n"/>
      <c r="L270" s="174" t="n"/>
      <c r="M270" s="176" t="n"/>
      <c r="N270" s="72" t="n"/>
      <c r="O270" s="169" t="n"/>
      <c r="P270" s="66" t="n"/>
      <c r="Q270" s="66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66" t="n"/>
      <c r="C271" s="108" t="n"/>
      <c r="D271" s="68" t="n"/>
      <c r="E271" s="68" t="n"/>
      <c r="F271" s="340" t="n"/>
      <c r="G271" s="340" t="n"/>
      <c r="H271" s="340" t="n"/>
      <c r="I271" s="340" t="n"/>
      <c r="J271" s="340" t="n"/>
      <c r="K271" s="177" t="n"/>
      <c r="L271" s="174" t="n"/>
      <c r="M271" s="340" t="n"/>
      <c r="N271" s="72" t="n"/>
      <c r="O271" s="169" t="n"/>
      <c r="P271" s="66" t="n"/>
      <c r="Q271" s="66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66" t="n"/>
      <c r="C272" s="108" t="n"/>
      <c r="D272" s="68" t="n"/>
      <c r="E272" s="68" t="n"/>
      <c r="F272" s="178" t="n"/>
      <c r="G272" s="99" t="n"/>
      <c r="H272" s="100" t="n"/>
      <c r="I272" s="91" t="n"/>
      <c r="J272" s="93" t="n"/>
      <c r="K272" s="177" t="n"/>
      <c r="L272" s="174" t="n"/>
      <c r="M272" s="189" t="n"/>
      <c r="N272" s="72" t="n"/>
      <c r="O272" s="169" t="n"/>
      <c r="P272" s="66" t="n"/>
      <c r="Q272" s="66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66" t="n"/>
      <c r="C273" s="108" t="n"/>
      <c r="D273" s="68" t="n"/>
      <c r="E273" s="68" t="n"/>
      <c r="F273" s="178" t="n"/>
      <c r="G273" s="99" t="n"/>
      <c r="H273" s="100" t="n"/>
      <c r="I273" s="91" t="n"/>
      <c r="J273" s="93" t="n"/>
      <c r="K273" s="177" t="n"/>
      <c r="L273" s="174" t="n"/>
      <c r="M273" s="189" t="n"/>
      <c r="N273" s="72" t="n"/>
      <c r="O273" s="169" t="n"/>
      <c r="P273" s="66" t="n"/>
      <c r="Q273" s="66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66" t="n"/>
      <c r="C274" s="108" t="n"/>
      <c r="D274" s="68" t="n"/>
      <c r="E274" s="68" t="n"/>
      <c r="F274" s="99" t="n"/>
      <c r="G274" s="99" t="n"/>
      <c r="H274" s="100" t="n"/>
      <c r="I274" s="91" t="n"/>
      <c r="J274" s="93" t="n"/>
      <c r="K274" s="177" t="n"/>
      <c r="L274" s="174" t="n"/>
      <c r="M274" s="189" t="n"/>
      <c r="N274" s="72" t="n"/>
      <c r="O274" s="169" t="n"/>
      <c r="P274" s="66" t="n"/>
      <c r="Q274" s="66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66" t="n"/>
      <c r="C275" s="108" t="n"/>
      <c r="D275" s="68" t="n"/>
      <c r="E275" s="68" t="n"/>
      <c r="F275" s="99" t="n"/>
      <c r="G275" s="99" t="n"/>
      <c r="H275" s="100" t="n"/>
      <c r="I275" s="91" t="n"/>
      <c r="J275" s="93" t="n"/>
      <c r="K275" s="177" t="n"/>
      <c r="L275" s="174" t="n"/>
      <c r="M275" s="189" t="n"/>
      <c r="N275" s="72" t="n"/>
      <c r="O275" s="169" t="n"/>
      <c r="P275" s="66" t="n"/>
      <c r="Q275" s="66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66" t="n"/>
      <c r="C276" s="108" t="n"/>
      <c r="D276" s="68" t="n"/>
      <c r="E276" s="68" t="n"/>
      <c r="F276" s="99" t="n"/>
      <c r="G276" s="99" t="n"/>
      <c r="H276" s="100" t="n"/>
      <c r="I276" s="91" t="n"/>
      <c r="J276" s="93" t="n"/>
      <c r="K276" s="177" t="n"/>
      <c r="L276" s="174" t="n"/>
      <c r="M276" s="189" t="n"/>
      <c r="N276" s="72" t="n"/>
      <c r="O276" s="169" t="n"/>
      <c r="P276" s="66" t="n"/>
      <c r="Q276" s="66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66" t="n"/>
      <c r="C277" s="108" t="n"/>
      <c r="D277" s="68" t="n"/>
      <c r="E277" s="68" t="n"/>
      <c r="F277" s="99" t="n"/>
      <c r="G277" s="87" t="n"/>
      <c r="H277" s="69" t="n"/>
      <c r="I277" s="70" t="n"/>
      <c r="J277" s="79" t="n"/>
      <c r="K277" s="177" t="n"/>
      <c r="L277" s="174" t="n"/>
      <c r="M277" s="176" t="n"/>
      <c r="N277" s="72" t="n"/>
      <c r="O277" s="169" t="n"/>
      <c r="P277" s="66" t="n"/>
      <c r="Q277" s="66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66" t="n"/>
      <c r="C278" s="108" t="n"/>
      <c r="D278" s="68" t="n"/>
      <c r="E278" s="68" t="n"/>
      <c r="F278" s="99" t="n"/>
      <c r="G278" s="340" t="n"/>
      <c r="H278" s="340" t="n"/>
      <c r="I278" s="340" t="n"/>
      <c r="J278" s="340" t="n"/>
      <c r="K278" s="177" t="n"/>
      <c r="L278" s="174" t="n"/>
      <c r="M278" s="340" t="n"/>
      <c r="N278" s="72" t="n"/>
      <c r="O278" s="169" t="n"/>
      <c r="P278" s="66" t="n"/>
      <c r="Q278" s="66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66" t="n"/>
      <c r="C279" s="108" t="n"/>
      <c r="D279" s="68" t="n"/>
      <c r="E279" s="68" t="n"/>
      <c r="F279" s="99" t="n"/>
      <c r="G279" s="99" t="n"/>
      <c r="H279" s="100" t="n"/>
      <c r="I279" s="91" t="n"/>
      <c r="J279" s="93" t="n"/>
      <c r="K279" s="177" t="n"/>
      <c r="L279" s="174" t="n"/>
      <c r="M279" s="189" t="n"/>
      <c r="N279" s="72" t="n"/>
      <c r="O279" s="169" t="n"/>
      <c r="P279" s="66" t="n"/>
      <c r="Q279" s="66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66" t="n"/>
      <c r="C280" s="108" t="n"/>
      <c r="D280" s="68" t="n"/>
      <c r="E280" s="68" t="n"/>
      <c r="F280" s="99" t="n"/>
      <c r="G280" s="87" t="n"/>
      <c r="H280" s="69" t="n"/>
      <c r="I280" s="70" t="n"/>
      <c r="J280" s="79" t="n"/>
      <c r="K280" s="177" t="n"/>
      <c r="L280" s="174" t="n"/>
      <c r="M280" s="176" t="n"/>
      <c r="N280" s="72" t="n"/>
      <c r="O280" s="169" t="n"/>
      <c r="P280" s="66" t="n"/>
      <c r="Q280" s="66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66" t="n"/>
      <c r="C281" s="108" t="n"/>
      <c r="D281" s="68" t="n"/>
      <c r="E281" s="68" t="n"/>
      <c r="F281" s="99" t="n"/>
      <c r="G281" s="340" t="n"/>
      <c r="H281" s="340" t="n"/>
      <c r="I281" s="340" t="n"/>
      <c r="J281" s="340" t="n"/>
      <c r="K281" s="177" t="n"/>
      <c r="L281" s="174" t="n"/>
      <c r="M281" s="340" t="n"/>
      <c r="N281" s="72" t="n"/>
      <c r="O281" s="169" t="n"/>
      <c r="P281" s="66" t="n"/>
      <c r="Q281" s="66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66" t="n"/>
      <c r="C282" s="108" t="n"/>
      <c r="D282" s="68" t="n"/>
      <c r="E282" s="68" t="n"/>
      <c r="F282" s="99" t="n"/>
      <c r="G282" s="87" t="n"/>
      <c r="H282" s="69" t="n"/>
      <c r="I282" s="70" t="n"/>
      <c r="J282" s="79" t="n"/>
      <c r="K282" s="177" t="n"/>
      <c r="L282" s="174" t="n"/>
      <c r="M282" s="176" t="n"/>
      <c r="N282" s="72" t="n"/>
      <c r="O282" s="169" t="n"/>
      <c r="P282" s="66" t="n"/>
      <c r="Q282" s="66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66" t="n"/>
      <c r="C283" s="108" t="n"/>
      <c r="D283" s="68" t="n"/>
      <c r="E283" s="68" t="n"/>
      <c r="F283" s="99" t="n"/>
      <c r="G283" s="340" t="n"/>
      <c r="H283" s="340" t="n"/>
      <c r="I283" s="340" t="n"/>
      <c r="J283" s="340" t="n"/>
      <c r="K283" s="177" t="n"/>
      <c r="L283" s="174" t="n"/>
      <c r="M283" s="340" t="n"/>
      <c r="N283" s="72" t="n"/>
      <c r="O283" s="169" t="n"/>
      <c r="P283" s="66" t="n"/>
      <c r="Q283" s="66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66" t="n"/>
      <c r="C284" s="108" t="n"/>
      <c r="D284" s="68" t="n"/>
      <c r="E284" s="68" t="n"/>
      <c r="F284" s="99" t="n"/>
      <c r="G284" s="99" t="n"/>
      <c r="H284" s="100" t="n"/>
      <c r="I284" s="91" t="n"/>
      <c r="J284" s="93" t="n"/>
      <c r="K284" s="177" t="n"/>
      <c r="L284" s="174" t="n"/>
      <c r="M284" s="189" t="n"/>
      <c r="N284" s="72" t="n"/>
      <c r="O284" s="169" t="n"/>
      <c r="P284" s="66" t="n"/>
      <c r="Q284" s="66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66" t="n"/>
      <c r="C285" s="108" t="n"/>
      <c r="D285" s="68" t="n"/>
      <c r="E285" s="68" t="n"/>
      <c r="F285" s="99" t="n"/>
      <c r="G285" s="99" t="n"/>
      <c r="H285" s="100" t="n"/>
      <c r="I285" s="91" t="n"/>
      <c r="J285" s="93" t="n"/>
      <c r="K285" s="177" t="n"/>
      <c r="L285" s="174" t="n"/>
      <c r="M285" s="189" t="n"/>
      <c r="N285" s="72" t="n"/>
      <c r="O285" s="169" t="n"/>
      <c r="P285" s="66" t="n"/>
      <c r="Q285" s="66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66" t="n"/>
      <c r="C286" s="108" t="n"/>
      <c r="D286" s="68" t="n"/>
      <c r="E286" s="68" t="n"/>
      <c r="F286" s="99" t="n"/>
      <c r="G286" s="99" t="n"/>
      <c r="H286" s="100" t="n"/>
      <c r="I286" s="91" t="n"/>
      <c r="J286" s="93" t="n"/>
      <c r="K286" s="177" t="n"/>
      <c r="L286" s="174" t="n"/>
      <c r="M286" s="189" t="n"/>
      <c r="N286" s="72" t="n"/>
      <c r="O286" s="169" t="n"/>
      <c r="P286" s="66" t="n"/>
      <c r="Q286" s="66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66" t="n"/>
      <c r="C287" s="108" t="n"/>
      <c r="D287" s="68" t="n"/>
      <c r="E287" s="68" t="n"/>
      <c r="F287" s="99" t="n"/>
      <c r="G287" s="87" t="n"/>
      <c r="H287" s="69" t="n"/>
      <c r="I287" s="70" t="n"/>
      <c r="J287" s="93" t="n"/>
      <c r="K287" s="177" t="n"/>
      <c r="L287" s="174" t="n"/>
      <c r="M287" s="176" t="n"/>
      <c r="N287" s="72" t="n"/>
      <c r="O287" s="169" t="n"/>
      <c r="P287" s="66" t="n"/>
      <c r="Q287" s="66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66" t="n"/>
      <c r="C288" s="108" t="n"/>
      <c r="D288" s="68" t="n"/>
      <c r="E288" s="68" t="n"/>
      <c r="F288" s="99" t="n"/>
      <c r="G288" s="343" t="n"/>
      <c r="H288" s="343" t="n"/>
      <c r="I288" s="343" t="n"/>
      <c r="J288" s="93" t="n"/>
      <c r="K288" s="177" t="n"/>
      <c r="L288" s="174" t="n"/>
      <c r="M288" s="343" t="n"/>
      <c r="N288" s="72" t="n"/>
      <c r="O288" s="169" t="n"/>
      <c r="P288" s="66" t="n"/>
      <c r="Q288" s="66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66" t="n"/>
      <c r="C289" s="108" t="n"/>
      <c r="D289" s="68" t="n"/>
      <c r="E289" s="68" t="n"/>
      <c r="F289" s="99" t="n"/>
      <c r="G289" s="340" t="n"/>
      <c r="H289" s="340" t="n"/>
      <c r="I289" s="340" t="n"/>
      <c r="J289" s="93" t="n"/>
      <c r="K289" s="177" t="n"/>
      <c r="L289" s="174" t="n"/>
      <c r="M289" s="340" t="n"/>
      <c r="N289" s="72" t="n"/>
      <c r="O289" s="169" t="n"/>
      <c r="P289" s="66" t="n"/>
      <c r="Q289" s="66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66" t="n"/>
      <c r="C290" s="108" t="n"/>
      <c r="D290" s="68" t="n"/>
      <c r="E290" s="68" t="n"/>
      <c r="F290" s="99" t="n"/>
      <c r="G290" s="99" t="n"/>
      <c r="H290" s="100" t="n"/>
      <c r="I290" s="91" t="n"/>
      <c r="J290" s="93" t="n"/>
      <c r="K290" s="177" t="n"/>
      <c r="L290" s="174" t="n"/>
      <c r="M290" s="189" t="n"/>
      <c r="N290" s="72" t="n"/>
      <c r="O290" s="169" t="n"/>
      <c r="P290" s="66" t="n"/>
      <c r="Q290" s="66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66" t="n"/>
      <c r="C291" s="108" t="n"/>
      <c r="D291" s="68" t="n"/>
      <c r="E291" s="68" t="n"/>
      <c r="F291" s="99" t="n"/>
      <c r="G291" s="87" t="n"/>
      <c r="H291" s="69" t="n"/>
      <c r="I291" s="70" t="n"/>
      <c r="J291" s="93" t="n"/>
      <c r="K291" s="177" t="n"/>
      <c r="L291" s="174" t="n"/>
      <c r="M291" s="176" t="n"/>
      <c r="N291" s="72" t="n"/>
      <c r="O291" s="169" t="n"/>
      <c r="P291" s="66" t="n"/>
      <c r="Q291" s="66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66" t="n"/>
      <c r="C292" s="108" t="n"/>
      <c r="D292" s="68" t="n"/>
      <c r="E292" s="68" t="n"/>
      <c r="F292" s="99" t="n"/>
      <c r="G292" s="340" t="n"/>
      <c r="H292" s="340" t="n"/>
      <c r="I292" s="340" t="n"/>
      <c r="J292" s="93" t="n"/>
      <c r="K292" s="177" t="n"/>
      <c r="L292" s="174" t="n"/>
      <c r="M292" s="340" t="n"/>
      <c r="N292" s="72" t="n"/>
      <c r="O292" s="169" t="n"/>
      <c r="P292" s="66" t="n"/>
      <c r="Q292" s="66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66" t="n"/>
      <c r="C293" s="108" t="n"/>
      <c r="D293" s="68" t="n"/>
      <c r="E293" s="68" t="n"/>
      <c r="F293" s="99" t="n"/>
      <c r="G293" s="99" t="n"/>
      <c r="H293" s="100" t="n"/>
      <c r="I293" s="91" t="n"/>
      <c r="J293" s="93" t="n"/>
      <c r="K293" s="177" t="n"/>
      <c r="L293" s="174" t="n"/>
      <c r="M293" s="189" t="n"/>
      <c r="N293" s="72" t="n"/>
      <c r="O293" s="169" t="n"/>
      <c r="P293" s="66" t="n"/>
      <c r="Q293" s="66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66" t="n"/>
      <c r="C294" s="108" t="n"/>
      <c r="D294" s="68" t="n"/>
      <c r="E294" s="68" t="n"/>
      <c r="F294" s="99" t="n"/>
      <c r="G294" s="99" t="n"/>
      <c r="H294" s="100" t="n"/>
      <c r="I294" s="91" t="n"/>
      <c r="J294" s="93" t="n"/>
      <c r="K294" s="177" t="n"/>
      <c r="L294" s="174" t="n"/>
      <c r="M294" s="189" t="n"/>
      <c r="N294" s="72" t="n"/>
      <c r="O294" s="169" t="n"/>
      <c r="P294" s="66" t="n"/>
      <c r="Q294" s="66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66" t="n"/>
      <c r="C295" s="108" t="n"/>
      <c r="D295" s="68" t="n"/>
      <c r="E295" s="68" t="n"/>
      <c r="F295" s="99" t="n"/>
      <c r="G295" s="99" t="n"/>
      <c r="H295" s="100" t="n"/>
      <c r="I295" s="91" t="n"/>
      <c r="J295" s="93" t="n"/>
      <c r="K295" s="177" t="n"/>
      <c r="L295" s="174" t="n"/>
      <c r="M295" s="189" t="n"/>
      <c r="N295" s="72" t="n"/>
      <c r="O295" s="169" t="n"/>
      <c r="P295" s="66" t="n"/>
      <c r="Q295" s="66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66" t="n"/>
      <c r="C296" s="108" t="n"/>
      <c r="D296" s="68" t="n"/>
      <c r="E296" s="68" t="n"/>
      <c r="F296" s="87" t="n"/>
      <c r="G296" s="87" t="n"/>
      <c r="H296" s="69" t="n"/>
      <c r="I296" s="70" t="n"/>
      <c r="J296" s="79" t="n"/>
      <c r="K296" s="177" t="n"/>
      <c r="L296" s="174" t="n"/>
      <c r="M296" s="139" t="n"/>
      <c r="N296" s="72" t="n"/>
      <c r="O296" s="169" t="n"/>
      <c r="P296" s="66" t="n"/>
      <c r="Q296" s="66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66" t="n"/>
      <c r="C297" s="108" t="n"/>
      <c r="D297" s="68" t="n"/>
      <c r="E297" s="68" t="n"/>
      <c r="F297" s="87" t="n"/>
      <c r="G297" s="87" t="n"/>
      <c r="H297" s="69" t="n"/>
      <c r="I297" s="70" t="n"/>
      <c r="J297" s="79" t="n"/>
      <c r="K297" s="177" t="n"/>
      <c r="L297" s="174" t="n"/>
      <c r="M297" s="139" t="n"/>
      <c r="N297" s="72" t="n"/>
      <c r="O297" s="169" t="n"/>
      <c r="P297" s="66" t="n"/>
      <c r="Q297" s="66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66" t="n"/>
      <c r="C298" s="108" t="n"/>
      <c r="D298" s="68" t="n"/>
      <c r="E298" s="5" t="n"/>
      <c r="F298" s="87" t="n"/>
      <c r="G298" s="87" t="n"/>
      <c r="H298" s="69" t="n"/>
      <c r="I298" s="70" t="n"/>
      <c r="J298" s="79" t="n"/>
      <c r="K298" s="177" t="n"/>
      <c r="L298" s="174" t="n"/>
      <c r="M298" s="139" t="n"/>
      <c r="N298" s="72" t="n"/>
      <c r="O298" s="169" t="n"/>
      <c r="P298" s="66" t="n"/>
      <c r="Q298" s="66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66" t="n"/>
      <c r="C299" s="108" t="n"/>
      <c r="D299" s="68" t="n"/>
      <c r="E299" s="68" t="n"/>
      <c r="F299" s="87" t="n"/>
      <c r="G299" s="87" t="n"/>
      <c r="H299" s="69" t="n"/>
      <c r="I299" s="70" t="n"/>
      <c r="J299" s="79" t="n"/>
      <c r="K299" s="177" t="n"/>
      <c r="L299" s="174" t="n"/>
      <c r="M299" s="139" t="n"/>
      <c r="N299" s="72" t="n"/>
      <c r="O299" s="169" t="n"/>
      <c r="P299" s="66" t="n"/>
      <c r="Q299" s="66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66" t="n"/>
      <c r="C300" s="108" t="n"/>
      <c r="D300" s="68" t="n"/>
      <c r="E300" s="68" t="n"/>
      <c r="F300" s="87" t="n"/>
      <c r="G300" s="87" t="n"/>
      <c r="H300" s="69" t="n"/>
      <c r="I300" s="70" t="n"/>
      <c r="J300" s="79" t="n"/>
      <c r="K300" s="177" t="n"/>
      <c r="L300" s="174" t="n"/>
      <c r="M300" s="176" t="n"/>
      <c r="N300" s="72" t="n"/>
      <c r="O300" s="169" t="n"/>
      <c r="P300" s="66" t="n"/>
      <c r="Q300" s="66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66" t="n"/>
      <c r="C301" s="108" t="n"/>
      <c r="D301" s="68" t="n"/>
      <c r="E301" s="68" t="n"/>
      <c r="F301" s="87" t="n"/>
      <c r="G301" s="340" t="n"/>
      <c r="H301" s="340" t="n"/>
      <c r="I301" s="340" t="n"/>
      <c r="J301" s="340" t="n"/>
      <c r="K301" s="177" t="n"/>
      <c r="L301" s="174" t="n"/>
      <c r="M301" s="340" t="n"/>
      <c r="N301" s="72" t="n"/>
      <c r="O301" s="169" t="n"/>
      <c r="P301" s="66" t="n"/>
      <c r="Q301" s="66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66" t="n"/>
      <c r="C302" s="108" t="n"/>
      <c r="D302" s="68" t="n"/>
      <c r="E302" s="5" t="n"/>
      <c r="F302" s="87" t="n"/>
      <c r="G302" s="87" t="n"/>
      <c r="H302" s="69" t="n"/>
      <c r="I302" s="70" t="n"/>
      <c r="J302" s="79" t="n"/>
      <c r="K302" s="177" t="n"/>
      <c r="L302" s="174" t="n"/>
      <c r="M302" s="139" t="n"/>
      <c r="N302" s="72" t="n"/>
      <c r="O302" s="169" t="n"/>
      <c r="P302" s="66" t="n"/>
      <c r="Q302" s="66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66" t="n"/>
      <c r="C303" s="108" t="n"/>
      <c r="D303" s="68" t="n"/>
      <c r="E303" s="68" t="n"/>
      <c r="F303" s="87" t="n"/>
      <c r="G303" s="87" t="n"/>
      <c r="H303" s="69" t="n"/>
      <c r="I303" s="70" t="n"/>
      <c r="J303" s="79" t="n"/>
      <c r="K303" s="177" t="n"/>
      <c r="L303" s="174" t="n"/>
      <c r="M303" s="176" t="n"/>
      <c r="N303" s="72" t="n"/>
      <c r="O303" s="169" t="n"/>
      <c r="P303" s="66" t="n"/>
      <c r="Q303" s="66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66" t="n"/>
      <c r="C304" s="108" t="n"/>
      <c r="D304" s="68" t="n"/>
      <c r="E304" s="68" t="n"/>
      <c r="F304" s="87" t="n"/>
      <c r="G304" s="340" t="n"/>
      <c r="H304" s="340" t="n"/>
      <c r="I304" s="340" t="n"/>
      <c r="J304" s="340" t="n"/>
      <c r="K304" s="177" t="n"/>
      <c r="L304" s="174" t="n"/>
      <c r="M304" s="340" t="n"/>
      <c r="N304" s="72" t="n"/>
      <c r="O304" s="169" t="n"/>
      <c r="P304" s="66" t="n"/>
      <c r="Q304" s="66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66" t="n"/>
      <c r="C305" s="108" t="n"/>
      <c r="D305" s="68" t="n"/>
      <c r="E305" s="5" t="n"/>
      <c r="F305" s="87" t="n"/>
      <c r="G305" s="87" t="n"/>
      <c r="H305" s="69" t="n"/>
      <c r="I305" s="70" t="n"/>
      <c r="J305" s="79" t="n"/>
      <c r="K305" s="177" t="n"/>
      <c r="L305" s="174" t="n"/>
      <c r="M305" s="139" t="n"/>
      <c r="N305" s="72" t="n"/>
      <c r="O305" s="169" t="n"/>
      <c r="P305" s="66" t="n"/>
      <c r="Q305" s="66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66" t="n"/>
      <c r="C306" s="108" t="n"/>
      <c r="D306" s="68" t="n"/>
      <c r="E306" s="5" t="n"/>
      <c r="F306" s="87" t="n"/>
      <c r="G306" s="87" t="n"/>
      <c r="H306" s="69" t="n"/>
      <c r="I306" s="70" t="n"/>
      <c r="J306" s="79" t="n"/>
      <c r="K306" s="177" t="n"/>
      <c r="L306" s="174" t="n"/>
      <c r="M306" s="139" t="n"/>
      <c r="N306" s="72" t="n"/>
      <c r="O306" s="169" t="n"/>
      <c r="P306" s="66" t="n"/>
      <c r="Q306" s="66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66" t="n"/>
      <c r="C307" s="108" t="n"/>
      <c r="D307" s="68" t="n"/>
      <c r="E307" s="68" t="n"/>
      <c r="F307" s="87" t="n"/>
      <c r="G307" s="87" t="n"/>
      <c r="H307" s="69" t="n"/>
      <c r="I307" s="70" t="n"/>
      <c r="J307" s="79" t="n"/>
      <c r="K307" s="177" t="n"/>
      <c r="L307" s="174" t="n"/>
      <c r="M307" s="139" t="n"/>
      <c r="N307" s="72" t="n"/>
      <c r="O307" s="169" t="n"/>
      <c r="P307" s="66" t="n"/>
      <c r="Q307" s="66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66" t="n"/>
      <c r="C308" s="108" t="n"/>
      <c r="D308" s="68" t="n"/>
      <c r="E308" s="68" t="n"/>
      <c r="F308" s="87" t="n"/>
      <c r="G308" s="87" t="n"/>
      <c r="H308" s="69" t="n"/>
      <c r="I308" s="70" t="n"/>
      <c r="J308" s="79" t="n"/>
      <c r="K308" s="177" t="n"/>
      <c r="L308" s="174" t="n"/>
      <c r="M308" s="139" t="n"/>
      <c r="N308" s="72" t="n"/>
      <c r="O308" s="169" t="n"/>
      <c r="P308" s="66" t="n"/>
      <c r="Q308" s="66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66" t="n"/>
      <c r="C309" s="108" t="n"/>
      <c r="D309" s="68" t="n"/>
      <c r="E309" s="68" t="n"/>
      <c r="F309" s="87" t="n"/>
      <c r="G309" s="89" t="n"/>
      <c r="H309" s="82" t="n"/>
      <c r="I309" s="83" t="n"/>
      <c r="J309" s="79" t="n"/>
      <c r="K309" s="177" t="n"/>
      <c r="L309" s="174" t="n"/>
      <c r="M309" s="181" t="n"/>
      <c r="N309" s="72" t="n"/>
      <c r="O309" s="169" t="n"/>
      <c r="P309" s="66" t="n"/>
      <c r="Q309" s="66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66" t="n"/>
      <c r="C310" s="108" t="n"/>
      <c r="D310" s="68" t="n"/>
      <c r="E310" s="5" t="n"/>
      <c r="F310" s="87" t="n"/>
      <c r="G310" s="89" t="n"/>
      <c r="H310" s="82" t="n"/>
      <c r="I310" s="83" t="n"/>
      <c r="J310" s="79" t="n"/>
      <c r="K310" s="177" t="n"/>
      <c r="L310" s="174" t="n"/>
      <c r="M310" s="181" t="n"/>
      <c r="N310" s="72" t="n"/>
      <c r="O310" s="169" t="n"/>
      <c r="P310" s="66" t="n"/>
      <c r="Q310" s="66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66" t="n"/>
      <c r="C311" s="108" t="n"/>
      <c r="D311" s="68" t="n"/>
      <c r="E311" s="68" t="n"/>
      <c r="F311" s="87" t="n"/>
      <c r="G311" s="87" t="n"/>
      <c r="H311" s="69" t="n"/>
      <c r="I311" s="70" t="n"/>
      <c r="J311" s="79" t="n"/>
      <c r="K311" s="177" t="n"/>
      <c r="L311" s="174" t="n"/>
      <c r="M311" s="176" t="n"/>
      <c r="N311" s="72" t="n"/>
      <c r="O311" s="169" t="n"/>
      <c r="P311" s="66" t="n"/>
      <c r="Q311" s="66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66" t="n"/>
      <c r="C312" s="108" t="n"/>
      <c r="D312" s="68" t="n"/>
      <c r="E312" s="68" t="n"/>
      <c r="F312" s="87" t="n"/>
      <c r="G312" s="340" t="n"/>
      <c r="H312" s="340" t="n"/>
      <c r="I312" s="340" t="n"/>
      <c r="J312" s="340" t="n"/>
      <c r="K312" s="177" t="n"/>
      <c r="L312" s="174" t="n"/>
      <c r="M312" s="340" t="n"/>
      <c r="N312" s="72" t="n"/>
      <c r="O312" s="169" t="n"/>
      <c r="P312" s="66" t="n"/>
      <c r="Q312" s="66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66" t="n"/>
      <c r="C313" s="108" t="n"/>
      <c r="D313" s="68" t="n"/>
      <c r="E313" s="68" t="n"/>
      <c r="F313" s="87" t="n"/>
      <c r="G313" s="99" t="n"/>
      <c r="H313" s="100" t="n"/>
      <c r="I313" s="91" t="n"/>
      <c r="J313" s="79" t="n"/>
      <c r="K313" s="177" t="n"/>
      <c r="L313" s="174" t="n"/>
      <c r="M313" s="189" t="n"/>
      <c r="N313" s="72" t="n"/>
      <c r="O313" s="169" t="n"/>
      <c r="P313" s="66" t="n"/>
      <c r="Q313" s="66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66" t="n"/>
      <c r="C314" s="108" t="n"/>
      <c r="D314" s="68" t="n"/>
      <c r="E314" s="68" t="n"/>
      <c r="F314" s="87" t="n"/>
      <c r="G314" s="99" t="n"/>
      <c r="H314" s="100" t="n"/>
      <c r="I314" s="91" t="n"/>
      <c r="J314" s="79" t="n"/>
      <c r="K314" s="177" t="n"/>
      <c r="L314" s="174" t="n"/>
      <c r="M314" s="189" t="n"/>
      <c r="N314" s="72" t="n"/>
      <c r="O314" s="169" t="n"/>
      <c r="P314" s="66" t="n"/>
      <c r="Q314" s="66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66" t="n"/>
      <c r="C315" s="108" t="n"/>
      <c r="D315" s="68" t="n"/>
      <c r="E315" s="68" t="n"/>
      <c r="F315" s="87" t="n"/>
      <c r="G315" s="99" t="n"/>
      <c r="H315" s="69" t="n"/>
      <c r="I315" s="91" t="n"/>
      <c r="J315" s="79" t="n"/>
      <c r="K315" s="177" t="n"/>
      <c r="L315" s="174" t="n"/>
      <c r="M315" s="189" t="n"/>
      <c r="N315" s="72" t="n"/>
      <c r="O315" s="169" t="n"/>
      <c r="P315" s="66" t="n"/>
      <c r="Q315" s="66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66" t="n"/>
      <c r="C316" s="108" t="n"/>
      <c r="D316" s="68" t="n"/>
      <c r="E316" s="5" t="n"/>
      <c r="F316" s="87" t="n"/>
      <c r="G316" s="99" t="n"/>
      <c r="H316" s="69" t="n"/>
      <c r="I316" s="91" t="n"/>
      <c r="J316" s="79" t="n"/>
      <c r="K316" s="177" t="n"/>
      <c r="L316" s="174" t="n"/>
      <c r="M316" s="189" t="n"/>
      <c r="N316" s="72" t="n"/>
      <c r="O316" s="169" t="n"/>
      <c r="P316" s="66" t="n"/>
      <c r="Q316" s="66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66" t="n"/>
      <c r="C317" s="108" t="n"/>
      <c r="D317" s="68" t="n"/>
      <c r="E317" s="68" t="n"/>
      <c r="F317" s="87" t="n"/>
      <c r="G317" s="99" t="n"/>
      <c r="H317" s="69" t="n"/>
      <c r="I317" s="91" t="n"/>
      <c r="J317" s="79" t="n"/>
      <c r="K317" s="177" t="n"/>
      <c r="L317" s="174" t="n"/>
      <c r="M317" s="189" t="n"/>
      <c r="N317" s="72" t="n"/>
      <c r="O317" s="169" t="n"/>
      <c r="P317" s="66" t="n"/>
      <c r="Q317" s="66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66" t="n"/>
      <c r="C318" s="108" t="n"/>
      <c r="D318" s="68" t="n"/>
      <c r="E318" s="68" t="n"/>
      <c r="F318" s="87" t="n"/>
      <c r="G318" s="99" t="n"/>
      <c r="H318" s="69" t="n"/>
      <c r="I318" s="91" t="n"/>
      <c r="J318" s="79" t="n"/>
      <c r="K318" s="177" t="n"/>
      <c r="L318" s="174" t="n"/>
      <c r="M318" s="189" t="n"/>
      <c r="N318" s="72" t="n"/>
      <c r="O318" s="169" t="n"/>
      <c r="P318" s="66" t="n"/>
      <c r="Q318" s="66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66" t="n"/>
      <c r="C319" s="108" t="n"/>
      <c r="D319" s="68" t="n"/>
      <c r="E319" s="5" t="n"/>
      <c r="F319" s="87" t="n"/>
      <c r="G319" s="99" t="n"/>
      <c r="H319" s="69" t="n"/>
      <c r="I319" s="91" t="n"/>
      <c r="J319" s="79" t="n"/>
      <c r="K319" s="177" t="n"/>
      <c r="L319" s="174" t="n"/>
      <c r="M319" s="189" t="n"/>
      <c r="N319" s="72" t="n"/>
      <c r="O319" s="169" t="n"/>
      <c r="P319" s="66" t="n"/>
      <c r="Q319" s="66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66" t="n"/>
      <c r="C320" s="108" t="n"/>
      <c r="D320" s="68" t="n"/>
      <c r="E320" s="68" t="n"/>
      <c r="F320" s="87" t="n"/>
      <c r="G320" s="87" t="n"/>
      <c r="H320" s="69" t="n"/>
      <c r="I320" s="70" t="n"/>
      <c r="J320" s="79" t="n"/>
      <c r="K320" s="177" t="n"/>
      <c r="L320" s="174" t="n"/>
      <c r="M320" s="139" t="n"/>
      <c r="N320" s="72" t="n"/>
      <c r="O320" s="222" t="n"/>
      <c r="P320" s="66" t="n"/>
      <c r="Q320" s="66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66" t="n"/>
      <c r="C321" s="108" t="n"/>
      <c r="D321" s="68" t="n"/>
      <c r="E321" s="68" t="n"/>
      <c r="F321" s="87" t="n"/>
      <c r="G321" s="87" t="n"/>
      <c r="H321" s="69" t="n"/>
      <c r="I321" s="70" t="n"/>
      <c r="J321" s="79" t="n"/>
      <c r="K321" s="177" t="n"/>
      <c r="L321" s="174" t="n"/>
      <c r="M321" s="139" t="n"/>
      <c r="N321" s="72" t="n"/>
      <c r="O321" s="169" t="n"/>
      <c r="P321" s="66" t="n"/>
      <c r="Q321" s="66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66" t="n"/>
      <c r="C322" s="108" t="n"/>
      <c r="D322" s="68" t="n"/>
      <c r="E322" s="68" t="n"/>
      <c r="F322" s="87" t="n"/>
      <c r="G322" s="87" t="n"/>
      <c r="H322" s="69" t="n"/>
      <c r="I322" s="70" t="n"/>
      <c r="J322" s="79" t="n"/>
      <c r="K322" s="177" t="n"/>
      <c r="L322" s="174" t="n"/>
      <c r="M322" s="139" t="n"/>
      <c r="N322" s="72" t="n"/>
      <c r="O322" s="222" t="n"/>
      <c r="P322" s="66" t="n"/>
      <c r="Q322" s="66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66" t="n"/>
      <c r="C323" s="108" t="n"/>
      <c r="D323" s="68" t="n"/>
      <c r="E323" s="68" t="n"/>
      <c r="F323" s="87" t="n"/>
      <c r="G323" s="87" t="n"/>
      <c r="H323" s="69" t="n"/>
      <c r="I323" s="70" t="n"/>
      <c r="J323" s="79" t="n"/>
      <c r="K323" s="177" t="n"/>
      <c r="L323" s="174" t="n"/>
      <c r="M323" s="176" t="n"/>
      <c r="N323" s="72" t="n"/>
      <c r="O323" s="169" t="n"/>
      <c r="P323" s="66" t="n"/>
      <c r="Q323" s="66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66" t="n"/>
      <c r="C324" s="108" t="n"/>
      <c r="D324" s="68" t="n"/>
      <c r="E324" s="68" t="n"/>
      <c r="F324" s="87" t="n"/>
      <c r="G324" s="343" t="n"/>
      <c r="H324" s="343" t="n"/>
      <c r="I324" s="343" t="n"/>
      <c r="J324" s="79" t="n"/>
      <c r="K324" s="177" t="n"/>
      <c r="L324" s="174" t="n"/>
      <c r="M324" s="343" t="n"/>
      <c r="N324" s="72" t="n"/>
      <c r="O324" s="169" t="n"/>
      <c r="P324" s="66" t="n"/>
      <c r="Q324" s="66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66" t="n"/>
      <c r="C325" s="108" t="n"/>
      <c r="D325" s="68" t="n"/>
      <c r="E325" s="68" t="n"/>
      <c r="F325" s="87" t="n"/>
      <c r="G325" s="340" t="n"/>
      <c r="H325" s="340" t="n"/>
      <c r="I325" s="340" t="n"/>
      <c r="J325" s="79" t="n"/>
      <c r="K325" s="177" t="n"/>
      <c r="L325" s="174" t="n"/>
      <c r="M325" s="340" t="n"/>
      <c r="N325" s="72" t="n"/>
      <c r="O325" s="169" t="n"/>
      <c r="P325" s="66" t="n"/>
      <c r="Q325" s="66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66" t="n"/>
      <c r="C326" s="108" t="n"/>
      <c r="D326" s="68" t="n"/>
      <c r="E326" s="68" t="n"/>
      <c r="F326" s="87" t="n"/>
      <c r="G326" s="87" t="n"/>
      <c r="H326" s="69" t="n"/>
      <c r="I326" s="70" t="n"/>
      <c r="J326" s="79" t="n"/>
      <c r="K326" s="177" t="n"/>
      <c r="L326" s="174" t="n"/>
      <c r="M326" s="139" t="n"/>
      <c r="N326" s="72" t="n"/>
      <c r="O326" s="169" t="n"/>
      <c r="P326" s="66" t="n"/>
      <c r="Q326" s="66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66" t="n"/>
      <c r="C327" s="108" t="n"/>
      <c r="D327" s="68" t="n"/>
      <c r="E327" s="68" t="n"/>
      <c r="F327" s="87" t="n"/>
      <c r="G327" s="87" t="n"/>
      <c r="H327" s="69" t="n"/>
      <c r="I327" s="70" t="n"/>
      <c r="J327" s="79" t="n"/>
      <c r="K327" s="177" t="n"/>
      <c r="L327" s="174" t="n"/>
      <c r="M327" s="139" t="n"/>
      <c r="N327" s="72" t="n"/>
      <c r="O327" s="169" t="n"/>
      <c r="P327" s="66" t="n"/>
      <c r="Q327" s="66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66" t="n"/>
      <c r="C328" s="108" t="n"/>
      <c r="D328" s="68" t="n"/>
      <c r="E328" s="68" t="n"/>
      <c r="F328" s="87" t="n"/>
      <c r="G328" s="87" t="n"/>
      <c r="H328" s="69" t="n"/>
      <c r="I328" s="70" t="n"/>
      <c r="J328" s="79" t="n"/>
      <c r="K328" s="177" t="n"/>
      <c r="L328" s="174" t="n"/>
      <c r="M328" s="139" t="n"/>
      <c r="N328" s="72" t="n"/>
      <c r="O328" s="169" t="n"/>
      <c r="P328" s="66" t="n"/>
      <c r="Q328" s="66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66" t="n"/>
      <c r="C329" s="108" t="n"/>
      <c r="D329" s="68" t="n"/>
      <c r="E329" s="68" t="n"/>
      <c r="F329" s="87" t="n"/>
      <c r="G329" s="87" t="n"/>
      <c r="H329" s="100" t="n"/>
      <c r="I329" s="70" t="n"/>
      <c r="J329" s="79" t="n"/>
      <c r="K329" s="177" t="n"/>
      <c r="L329" s="174" t="n"/>
      <c r="M329" s="189" t="n"/>
      <c r="N329" s="72" t="n"/>
      <c r="O329" s="169" t="n"/>
      <c r="P329" s="66" t="n"/>
      <c r="Q329" s="66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66" t="n"/>
      <c r="C330" s="108" t="n"/>
      <c r="D330" s="68" t="n"/>
      <c r="E330" s="68" t="n"/>
      <c r="F330" s="87" t="n"/>
      <c r="G330" s="87" t="n"/>
      <c r="H330" s="100" t="n"/>
      <c r="I330" s="70" t="n"/>
      <c r="J330" s="79" t="n"/>
      <c r="K330" s="177" t="n"/>
      <c r="L330" s="174" t="n"/>
      <c r="M330" s="189" t="n"/>
      <c r="N330" s="72" t="n"/>
      <c r="O330" s="169" t="n"/>
      <c r="P330" s="66" t="n"/>
      <c r="Q330" s="66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66" t="n"/>
      <c r="C331" s="108" t="n"/>
      <c r="D331" s="68" t="n"/>
      <c r="E331" s="68" t="n"/>
      <c r="F331" s="87" t="n"/>
      <c r="G331" s="87" t="n"/>
      <c r="H331" s="69" t="n"/>
      <c r="I331" s="70" t="n"/>
      <c r="J331" s="79" t="n"/>
      <c r="K331" s="177" t="n"/>
      <c r="L331" s="174" t="n"/>
      <c r="M331" s="139" t="n"/>
      <c r="N331" s="72" t="n"/>
      <c r="O331" s="169" t="n"/>
      <c r="P331" s="66" t="n"/>
      <c r="Q331" s="66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66" t="n"/>
      <c r="C332" s="108" t="n"/>
      <c r="D332" s="68" t="n"/>
      <c r="E332" s="68" t="n"/>
      <c r="F332" s="87" t="n"/>
      <c r="G332" s="87" t="n"/>
      <c r="H332" s="69" t="n"/>
      <c r="I332" s="70" t="n"/>
      <c r="J332" s="79" t="n"/>
      <c r="K332" s="177" t="n"/>
      <c r="L332" s="174" t="n"/>
      <c r="M332" s="176" t="n"/>
      <c r="N332" s="72" t="n"/>
      <c r="O332" s="169" t="n"/>
      <c r="P332" s="66" t="n"/>
      <c r="Q332" s="66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66" t="n"/>
      <c r="C333" s="108" t="n"/>
      <c r="D333" s="68" t="n"/>
      <c r="E333" s="68" t="n"/>
      <c r="F333" s="87" t="n"/>
      <c r="G333" s="340" t="n"/>
      <c r="H333" s="340" t="n"/>
      <c r="I333" s="340" t="n"/>
      <c r="J333" s="340" t="n"/>
      <c r="K333" s="177" t="n"/>
      <c r="L333" s="174" t="n"/>
      <c r="M333" s="340" t="n"/>
      <c r="N333" s="72" t="n"/>
      <c r="O333" s="169" t="n"/>
      <c r="P333" s="66" t="n"/>
      <c r="Q333" s="66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66" t="n"/>
      <c r="C334" s="108" t="n"/>
      <c r="D334" s="68" t="n"/>
      <c r="E334" s="68" t="n"/>
      <c r="F334" s="87" t="n"/>
      <c r="G334" s="87" t="n"/>
      <c r="H334" s="100" t="n"/>
      <c r="I334" s="70" t="n"/>
      <c r="J334" s="79" t="n"/>
      <c r="K334" s="177" t="n"/>
      <c r="L334" s="174" t="n"/>
      <c r="M334" s="189" t="n"/>
      <c r="N334" s="72" t="n"/>
      <c r="O334" s="169" t="n"/>
      <c r="P334" s="66" t="n"/>
      <c r="Q334" s="66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66" t="n"/>
      <c r="C335" s="108" t="n"/>
      <c r="D335" s="68" t="n"/>
      <c r="E335" s="68" t="n"/>
      <c r="F335" s="87" t="n"/>
      <c r="G335" s="87" t="n"/>
      <c r="H335" s="69" t="n"/>
      <c r="I335" s="70" t="n"/>
      <c r="J335" s="79" t="n"/>
      <c r="K335" s="177" t="n"/>
      <c r="L335" s="174" t="n"/>
      <c r="M335" s="139" t="n"/>
      <c r="N335" s="72" t="n"/>
      <c r="O335" s="169" t="n"/>
      <c r="P335" s="66" t="n"/>
      <c r="Q335" s="66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66" t="n"/>
      <c r="C336" s="108" t="n"/>
      <c r="D336" s="68" t="n"/>
      <c r="E336" s="68" t="n"/>
      <c r="F336" s="87" t="n"/>
      <c r="G336" s="87" t="n"/>
      <c r="H336" s="69" t="n"/>
      <c r="I336" s="70" t="n"/>
      <c r="J336" s="79" t="n"/>
      <c r="K336" s="177" t="n"/>
      <c r="L336" s="174" t="n"/>
      <c r="M336" s="176" t="n"/>
      <c r="N336" s="72" t="n"/>
      <c r="O336" s="169" t="n"/>
      <c r="P336" s="66" t="n"/>
      <c r="Q336" s="66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66" t="n"/>
      <c r="C337" s="108" t="n"/>
      <c r="D337" s="68" t="n"/>
      <c r="E337" s="68" t="n"/>
      <c r="F337" s="87" t="n"/>
      <c r="G337" s="343" t="n"/>
      <c r="H337" s="343" t="n"/>
      <c r="I337" s="343" t="n"/>
      <c r="J337" s="79" t="n"/>
      <c r="K337" s="177" t="n"/>
      <c r="L337" s="174" t="n"/>
      <c r="M337" s="343" t="n"/>
      <c r="N337" s="72" t="n"/>
      <c r="O337" s="169" t="n"/>
      <c r="P337" s="66" t="n"/>
      <c r="Q337" s="66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66" t="n"/>
      <c r="C338" s="108" t="n"/>
      <c r="D338" s="68" t="n"/>
      <c r="E338" s="68" t="n"/>
      <c r="F338" s="87" t="n"/>
      <c r="G338" s="340" t="n"/>
      <c r="H338" s="340" t="n"/>
      <c r="I338" s="340" t="n"/>
      <c r="J338" s="79" t="n"/>
      <c r="K338" s="177" t="n"/>
      <c r="L338" s="174" t="n"/>
      <c r="M338" s="340" t="n"/>
      <c r="N338" s="72" t="n"/>
      <c r="O338" s="169" t="n"/>
      <c r="P338" s="66" t="n"/>
      <c r="Q338" s="66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66" t="n"/>
      <c r="C339" s="108" t="n"/>
      <c r="D339" s="68" t="n"/>
      <c r="E339" s="68" t="n"/>
      <c r="F339" s="87" t="n"/>
      <c r="G339" s="87" t="n"/>
      <c r="H339" s="69" t="n"/>
      <c r="I339" s="70" t="n"/>
      <c r="J339" s="79" t="n"/>
      <c r="K339" s="177" t="n"/>
      <c r="L339" s="174" t="n"/>
      <c r="M339" s="139" t="n"/>
      <c r="N339" s="72" t="n"/>
      <c r="O339" s="169" t="n"/>
      <c r="P339" s="66" t="n"/>
      <c r="Q339" s="66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66" t="n"/>
      <c r="C340" s="108" t="n"/>
      <c r="D340" s="68" t="n"/>
      <c r="E340" s="68" t="n"/>
      <c r="F340" s="87" t="n"/>
      <c r="G340" s="87" t="n"/>
      <c r="H340" s="69" t="n"/>
      <c r="I340" s="70" t="n"/>
      <c r="J340" s="79" t="n"/>
      <c r="K340" s="177" t="n"/>
      <c r="L340" s="174" t="n"/>
      <c r="M340" s="139" t="n"/>
      <c r="N340" s="72" t="n"/>
      <c r="O340" s="169" t="n"/>
      <c r="P340" s="66" t="n"/>
      <c r="Q340" s="66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66" t="n"/>
      <c r="C341" s="108" t="n"/>
      <c r="D341" s="68" t="n"/>
      <c r="E341" s="68" t="n"/>
      <c r="F341" s="87" t="n"/>
      <c r="G341" s="87" t="n"/>
      <c r="H341" s="69" t="n"/>
      <c r="I341" s="70" t="n"/>
      <c r="J341" s="79" t="n"/>
      <c r="K341" s="177" t="n"/>
      <c r="L341" s="174" t="n"/>
      <c r="M341" s="176" t="n"/>
      <c r="N341" s="72" t="n"/>
      <c r="O341" s="169" t="n"/>
      <c r="P341" s="66" t="n"/>
      <c r="Q341" s="66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66" t="n"/>
      <c r="C342" s="108" t="n"/>
      <c r="D342" s="68" t="n"/>
      <c r="E342" s="68" t="n"/>
      <c r="F342" s="87" t="n"/>
      <c r="G342" s="87" t="n"/>
      <c r="H342" s="340" t="n"/>
      <c r="I342" s="340" t="n"/>
      <c r="J342" s="340" t="n"/>
      <c r="K342" s="177" t="n"/>
      <c r="L342" s="174" t="n"/>
      <c r="M342" s="340" t="n"/>
      <c r="N342" s="72" t="n"/>
      <c r="O342" s="169" t="n"/>
      <c r="P342" s="66" t="n"/>
      <c r="Q342" s="66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66" t="n"/>
      <c r="C343" s="108" t="n"/>
      <c r="D343" s="68" t="n"/>
      <c r="E343" s="68" t="n"/>
      <c r="F343" s="87" t="n"/>
      <c r="G343" s="87" t="n"/>
      <c r="H343" s="69" t="n"/>
      <c r="I343" s="70" t="n"/>
      <c r="J343" s="79" t="n"/>
      <c r="K343" s="177" t="n"/>
      <c r="L343" s="174" t="n"/>
      <c r="M343" s="139" t="n"/>
      <c r="N343" s="72" t="n"/>
      <c r="O343" s="169" t="n"/>
      <c r="P343" s="66" t="n"/>
      <c r="Q343" s="66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66" t="n"/>
      <c r="C344" s="108" t="n"/>
      <c r="D344" s="68" t="n"/>
      <c r="E344" s="68" t="n"/>
      <c r="F344" s="87" t="n"/>
      <c r="G344" s="87" t="n"/>
      <c r="H344" s="69" t="n"/>
      <c r="I344" s="70" t="n"/>
      <c r="J344" s="79" t="n"/>
      <c r="K344" s="177" t="n"/>
      <c r="L344" s="174" t="n"/>
      <c r="M344" s="176" t="n"/>
      <c r="N344" s="72" t="n"/>
      <c r="O344" s="169" t="n"/>
      <c r="P344" s="66" t="n"/>
      <c r="Q344" s="66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66" t="n"/>
      <c r="C345" s="108" t="n"/>
      <c r="D345" s="68" t="n"/>
      <c r="E345" s="68" t="n"/>
      <c r="F345" s="87" t="n"/>
      <c r="G345" s="343" t="n"/>
      <c r="H345" s="343" t="n"/>
      <c r="I345" s="343" t="n"/>
      <c r="J345" s="343" t="n"/>
      <c r="K345" s="177" t="n"/>
      <c r="L345" s="174" t="n"/>
      <c r="M345" s="343" t="n"/>
      <c r="N345" s="72" t="n"/>
      <c r="O345" s="169" t="n"/>
      <c r="P345" s="66" t="n"/>
      <c r="Q345" s="66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66" t="n"/>
      <c r="C346" s="108" t="n"/>
      <c r="D346" s="68" t="n"/>
      <c r="E346" s="68" t="n"/>
      <c r="F346" s="87" t="n"/>
      <c r="G346" s="340" t="n"/>
      <c r="H346" s="340" t="n"/>
      <c r="I346" s="340" t="n"/>
      <c r="J346" s="340" t="n"/>
      <c r="K346" s="177" t="n"/>
      <c r="L346" s="174" t="n"/>
      <c r="M346" s="340" t="n"/>
      <c r="N346" s="72" t="n"/>
      <c r="O346" s="169" t="n"/>
      <c r="P346" s="66" t="n"/>
      <c r="Q346" s="66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66" t="n"/>
      <c r="C347" s="108" t="n"/>
      <c r="D347" s="68" t="n"/>
      <c r="E347" s="68" t="n"/>
      <c r="F347" s="87" t="n"/>
      <c r="G347" s="87" t="n"/>
      <c r="H347" s="69" t="n"/>
      <c r="I347" s="70" t="n"/>
      <c r="J347" s="79" t="n"/>
      <c r="K347" s="177" t="n"/>
      <c r="L347" s="174" t="n"/>
      <c r="M347" s="176" t="n"/>
      <c r="N347" s="72" t="n"/>
      <c r="O347" s="169" t="n"/>
      <c r="P347" s="66" t="n"/>
      <c r="Q347" s="66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66" t="n"/>
      <c r="C348" s="108" t="n"/>
      <c r="D348" s="68" t="n"/>
      <c r="E348" s="68" t="n"/>
      <c r="F348" s="87" t="n"/>
      <c r="G348" s="343" t="n"/>
      <c r="H348" s="343" t="n"/>
      <c r="I348" s="343" t="n"/>
      <c r="J348" s="79" t="n"/>
      <c r="K348" s="177" t="n"/>
      <c r="L348" s="174" t="n"/>
      <c r="M348" s="343" t="n"/>
      <c r="N348" s="72" t="n"/>
      <c r="O348" s="169" t="n"/>
      <c r="P348" s="66" t="n"/>
      <c r="Q348" s="66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66" t="n"/>
      <c r="C349" s="108" t="n"/>
      <c r="D349" s="68" t="n"/>
      <c r="E349" s="68" t="n"/>
      <c r="F349" s="87" t="n"/>
      <c r="G349" s="340" t="n"/>
      <c r="H349" s="340" t="n"/>
      <c r="I349" s="340" t="n"/>
      <c r="J349" s="79" t="n"/>
      <c r="K349" s="177" t="n"/>
      <c r="L349" s="174" t="n"/>
      <c r="M349" s="340" t="n"/>
      <c r="N349" s="72" t="n"/>
      <c r="O349" s="169" t="n"/>
      <c r="P349" s="66" t="n"/>
      <c r="Q349" s="66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66" t="n"/>
      <c r="C350" s="108" t="n"/>
      <c r="D350" s="68" t="n"/>
      <c r="E350" s="68" t="n"/>
      <c r="F350" s="87" t="n"/>
      <c r="G350" s="87" t="n"/>
      <c r="H350" s="69" t="n"/>
      <c r="I350" s="70" t="n"/>
      <c r="J350" s="79" t="n"/>
      <c r="K350" s="177" t="n"/>
      <c r="L350" s="174" t="n"/>
      <c r="M350" s="176" t="n"/>
      <c r="N350" s="72" t="n"/>
      <c r="O350" s="169" t="n"/>
      <c r="P350" s="66" t="n"/>
      <c r="Q350" s="66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66" t="n"/>
      <c r="C351" s="108" t="n"/>
      <c r="D351" s="68" t="n"/>
      <c r="E351" s="68" t="n"/>
      <c r="F351" s="87" t="n"/>
      <c r="G351" s="340" t="n"/>
      <c r="H351" s="340" t="n"/>
      <c r="I351" s="340" t="n"/>
      <c r="J351" s="340" t="n"/>
      <c r="K351" s="177" t="n"/>
      <c r="L351" s="174" t="n"/>
      <c r="M351" s="340" t="n"/>
      <c r="N351" s="72" t="n"/>
      <c r="O351" s="169" t="n"/>
      <c r="P351" s="66" t="n"/>
      <c r="Q351" s="66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66" t="n"/>
      <c r="C352" s="108" t="n"/>
      <c r="D352" s="68" t="n"/>
      <c r="E352" s="68" t="n"/>
      <c r="F352" s="87" t="n"/>
      <c r="G352" s="87" t="n"/>
      <c r="H352" s="100" t="n"/>
      <c r="I352" s="91" t="n"/>
      <c r="J352" s="93" t="n"/>
      <c r="K352" s="177" t="n"/>
      <c r="L352" s="174" t="n"/>
      <c r="M352" s="189" t="n"/>
      <c r="N352" s="72" t="n"/>
      <c r="O352" s="169" t="n"/>
      <c r="P352" s="66" t="n"/>
      <c r="Q352" s="66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66" t="n"/>
      <c r="C353" s="108" t="n"/>
      <c r="D353" s="68" t="n"/>
      <c r="E353" s="68" t="n"/>
      <c r="F353" s="87" t="n"/>
      <c r="G353" s="87" t="n"/>
      <c r="H353" s="100" t="n"/>
      <c r="I353" s="91" t="n"/>
      <c r="J353" s="79" t="n"/>
      <c r="K353" s="177" t="n"/>
      <c r="L353" s="174" t="n"/>
      <c r="M353" s="189" t="n"/>
      <c r="N353" s="72" t="n"/>
      <c r="O353" s="169" t="n"/>
      <c r="P353" s="66" t="n"/>
      <c r="Q353" s="66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66" t="n"/>
      <c r="C354" s="108" t="n"/>
      <c r="D354" s="68" t="n"/>
      <c r="E354" s="68" t="n"/>
      <c r="F354" s="87" t="n"/>
      <c r="G354" s="87" t="n"/>
      <c r="H354" s="69" t="n"/>
      <c r="I354" s="70" t="n"/>
      <c r="J354" s="79" t="n"/>
      <c r="K354" s="177" t="n"/>
      <c r="L354" s="174" t="n"/>
      <c r="M354" s="176" t="n"/>
      <c r="N354" s="72" t="n"/>
      <c r="O354" s="169" t="n"/>
      <c r="P354" s="66" t="n"/>
      <c r="Q354" s="66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66" t="n"/>
      <c r="C355" s="108" t="n"/>
      <c r="D355" s="68" t="n"/>
      <c r="E355" s="68" t="n"/>
      <c r="F355" s="87" t="n"/>
      <c r="G355" s="340" t="n"/>
      <c r="H355" s="340" t="n"/>
      <c r="I355" s="340" t="n"/>
      <c r="J355" s="340" t="n"/>
      <c r="K355" s="177" t="n"/>
      <c r="L355" s="174" t="n"/>
      <c r="M355" s="340" t="n"/>
      <c r="N355" s="72" t="n"/>
      <c r="O355" s="169" t="n"/>
      <c r="P355" s="66" t="n"/>
      <c r="Q355" s="66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66" t="n"/>
      <c r="C356" s="108" t="n"/>
      <c r="D356" s="68" t="n"/>
      <c r="E356" s="68" t="n"/>
      <c r="F356" s="87" t="n"/>
      <c r="G356" s="87" t="n"/>
      <c r="H356" s="69" t="n"/>
      <c r="I356" s="70" t="n"/>
      <c r="J356" s="79" t="n"/>
      <c r="K356" s="177" t="n"/>
      <c r="L356" s="174" t="n"/>
      <c r="M356" s="176" t="n"/>
      <c r="N356" s="72" t="n"/>
      <c r="O356" s="169" t="n"/>
      <c r="P356" s="66" t="n"/>
      <c r="Q356" s="66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66" t="n"/>
      <c r="C357" s="108" t="n"/>
      <c r="D357" s="68" t="n"/>
      <c r="E357" s="68" t="n"/>
      <c r="F357" s="87" t="n"/>
      <c r="G357" s="340" t="n"/>
      <c r="H357" s="340" t="n"/>
      <c r="I357" s="340" t="n"/>
      <c r="J357" s="340" t="n"/>
      <c r="K357" s="177" t="n"/>
      <c r="L357" s="174" t="n"/>
      <c r="M357" s="340" t="n"/>
      <c r="N357" s="72" t="n"/>
      <c r="O357" s="169" t="n"/>
      <c r="P357" s="66" t="n"/>
      <c r="Q357" s="66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66" t="n"/>
      <c r="C358" s="108" t="n"/>
      <c r="D358" s="68" t="n"/>
      <c r="E358" s="68" t="n"/>
      <c r="F358" s="87" t="n"/>
      <c r="G358" s="87" t="n"/>
      <c r="H358" s="69" t="n"/>
      <c r="I358" s="70" t="n"/>
      <c r="J358" s="79" t="n"/>
      <c r="K358" s="177" t="n"/>
      <c r="L358" s="174" t="n"/>
      <c r="M358" s="176" t="n"/>
      <c r="N358" s="72" t="n"/>
      <c r="O358" s="169" t="n"/>
      <c r="P358" s="66" t="n"/>
      <c r="Q358" s="66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66" t="n"/>
      <c r="C359" s="108" t="n"/>
      <c r="D359" s="68" t="n"/>
      <c r="E359" s="68" t="n"/>
      <c r="F359" s="87" t="n"/>
      <c r="G359" s="340" t="n"/>
      <c r="H359" s="340" t="n"/>
      <c r="I359" s="340" t="n"/>
      <c r="J359" s="340" t="n"/>
      <c r="K359" s="177" t="n"/>
      <c r="L359" s="174" t="n"/>
      <c r="M359" s="340" t="n"/>
      <c r="N359" s="72" t="n"/>
      <c r="O359" s="169" t="n"/>
      <c r="P359" s="66" t="n"/>
      <c r="Q359" s="66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66" t="n"/>
      <c r="C360" s="108" t="n"/>
      <c r="D360" s="68" t="n"/>
      <c r="E360" s="68" t="n"/>
      <c r="F360" s="87" t="n"/>
      <c r="G360" s="87" t="n"/>
      <c r="H360" s="100" t="n"/>
      <c r="I360" s="91" t="n"/>
      <c r="J360" s="93" t="n"/>
      <c r="K360" s="177" t="n"/>
      <c r="L360" s="174" t="n"/>
      <c r="M360" s="189" t="n"/>
      <c r="N360" s="72" t="n"/>
      <c r="O360" s="169" t="n"/>
      <c r="P360" s="66" t="n"/>
      <c r="Q360" s="66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66" t="n"/>
      <c r="C361" s="108" t="n"/>
      <c r="D361" s="68" t="n"/>
      <c r="E361" s="68" t="n"/>
      <c r="F361" s="87" t="n"/>
      <c r="G361" s="87" t="n"/>
      <c r="H361" s="69" t="n"/>
      <c r="I361" s="70" t="n"/>
      <c r="J361" s="79" t="n"/>
      <c r="K361" s="177" t="n"/>
      <c r="L361" s="174" t="n"/>
      <c r="M361" s="176" t="n"/>
      <c r="N361" s="72" t="n"/>
      <c r="O361" s="169" t="n"/>
      <c r="P361" s="66" t="n"/>
      <c r="Q361" s="66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66" t="n"/>
      <c r="C362" s="108" t="n"/>
      <c r="D362" s="68" t="n"/>
      <c r="E362" s="68" t="n"/>
      <c r="F362" s="87" t="n"/>
      <c r="G362" s="340" t="n"/>
      <c r="H362" s="340" t="n"/>
      <c r="I362" s="340" t="n"/>
      <c r="J362" s="340" t="n"/>
      <c r="K362" s="177" t="n"/>
      <c r="L362" s="174" t="n"/>
      <c r="M362" s="340" t="n"/>
      <c r="N362" s="72" t="n"/>
      <c r="O362" s="169" t="n"/>
      <c r="P362" s="66" t="n"/>
      <c r="Q362" s="66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66" t="n"/>
      <c r="C363" s="108" t="n"/>
      <c r="D363" s="68" t="n"/>
      <c r="E363" s="68" t="n"/>
      <c r="F363" s="87" t="n"/>
      <c r="G363" s="87" t="n"/>
      <c r="H363" s="69" t="n"/>
      <c r="I363" s="70" t="n"/>
      <c r="J363" s="79" t="n"/>
      <c r="K363" s="177" t="n"/>
      <c r="L363" s="174" t="n"/>
      <c r="M363" s="176" t="n"/>
      <c r="N363" s="72" t="n"/>
      <c r="O363" s="169" t="n"/>
      <c r="P363" s="66" t="n"/>
      <c r="Q363" s="66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66" t="n"/>
      <c r="C364" s="108" t="n"/>
      <c r="D364" s="68" t="n"/>
      <c r="E364" s="68" t="n"/>
      <c r="F364" s="87" t="n"/>
      <c r="G364" s="340" t="n"/>
      <c r="H364" s="340" t="n"/>
      <c r="I364" s="340" t="n"/>
      <c r="J364" s="340" t="n"/>
      <c r="K364" s="177" t="n"/>
      <c r="L364" s="174" t="n"/>
      <c r="M364" s="340" t="n"/>
      <c r="N364" s="72" t="n"/>
      <c r="O364" s="169" t="n"/>
      <c r="P364" s="66" t="n"/>
      <c r="Q364" s="66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66" t="n"/>
      <c r="C365" s="108" t="n"/>
      <c r="D365" s="68" t="n"/>
      <c r="E365" s="68" t="n"/>
      <c r="F365" s="87" t="n"/>
      <c r="G365" s="87" t="n"/>
      <c r="H365" s="100" t="n"/>
      <c r="I365" s="91" t="n"/>
      <c r="J365" s="93" t="n"/>
      <c r="K365" s="177" t="n"/>
      <c r="L365" s="174" t="n"/>
      <c r="M365" s="189" t="n"/>
      <c r="N365" s="72" t="n"/>
      <c r="O365" s="169" t="n"/>
      <c r="P365" s="66" t="n"/>
      <c r="Q365" s="66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66" t="n"/>
      <c r="C366" s="108" t="n"/>
      <c r="D366" s="68" t="n"/>
      <c r="E366" s="68" t="n"/>
      <c r="F366" s="87" t="n"/>
      <c r="G366" s="87" t="n"/>
      <c r="H366" s="100" t="n"/>
      <c r="I366" s="91" t="n"/>
      <c r="J366" s="93" t="n"/>
      <c r="K366" s="177" t="n"/>
      <c r="L366" s="174" t="n"/>
      <c r="M366" s="189" t="n"/>
      <c r="N366" s="72" t="n"/>
      <c r="O366" s="169" t="n"/>
      <c r="P366" s="66" t="n"/>
      <c r="Q366" s="66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66" t="n"/>
      <c r="C367" s="108" t="n"/>
      <c r="D367" s="68" t="n"/>
      <c r="E367" s="68" t="n"/>
      <c r="F367" s="87" t="n"/>
      <c r="G367" s="87" t="n"/>
      <c r="H367" s="69" t="n"/>
      <c r="I367" s="70" t="n"/>
      <c r="J367" s="79" t="n"/>
      <c r="K367" s="177" t="n"/>
      <c r="L367" s="174" t="n"/>
      <c r="M367" s="176" t="n"/>
      <c r="N367" s="72" t="n"/>
      <c r="O367" s="169" t="n"/>
      <c r="P367" s="66" t="n"/>
      <c r="Q367" s="66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66" t="n"/>
      <c r="C368" s="108" t="n"/>
      <c r="D368" s="68" t="n"/>
      <c r="E368" s="68" t="n"/>
      <c r="F368" s="87" t="n"/>
      <c r="G368" s="340" t="n"/>
      <c r="H368" s="340" t="n"/>
      <c r="I368" s="340" t="n"/>
      <c r="J368" s="340" t="n"/>
      <c r="K368" s="177" t="n"/>
      <c r="L368" s="174" t="n"/>
      <c r="M368" s="340" t="n"/>
      <c r="N368" s="72" t="n"/>
      <c r="O368" s="169" t="n"/>
      <c r="P368" s="66" t="n"/>
      <c r="Q368" s="66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66" t="n"/>
      <c r="C369" s="108" t="n"/>
      <c r="D369" s="68" t="n"/>
      <c r="E369" s="68" t="n"/>
      <c r="F369" s="87" t="n"/>
      <c r="G369" s="87" t="n"/>
      <c r="H369" s="100" t="n"/>
      <c r="I369" s="91" t="n"/>
      <c r="J369" s="79" t="n"/>
      <c r="K369" s="177" t="n"/>
      <c r="L369" s="174" t="n"/>
      <c r="M369" s="189" t="n"/>
      <c r="N369" s="72" t="n"/>
      <c r="O369" s="169" t="n"/>
      <c r="P369" s="66" t="n"/>
      <c r="Q369" s="66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66" t="n"/>
      <c r="C370" s="108" t="n"/>
      <c r="D370" s="68" t="n"/>
      <c r="E370" s="68" t="n"/>
      <c r="F370" s="87" t="n"/>
      <c r="G370" s="87" t="n"/>
      <c r="H370" s="100" t="n"/>
      <c r="I370" s="91" t="n"/>
      <c r="J370" s="79" t="n"/>
      <c r="K370" s="177" t="n"/>
      <c r="L370" s="174" t="n"/>
      <c r="M370" s="189" t="n"/>
      <c r="N370" s="72" t="n"/>
      <c r="O370" s="169" t="n"/>
      <c r="P370" s="66" t="n"/>
      <c r="Q370" s="66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66" t="n"/>
      <c r="C371" s="108" t="n"/>
      <c r="D371" s="68" t="n"/>
      <c r="E371" s="68" t="n"/>
      <c r="F371" s="87" t="n"/>
      <c r="G371" s="87" t="n"/>
      <c r="H371" s="100" t="n"/>
      <c r="I371" s="91" t="n"/>
      <c r="J371" s="79" t="n"/>
      <c r="K371" s="177" t="n"/>
      <c r="L371" s="174" t="n"/>
      <c r="M371" s="189" t="n"/>
      <c r="N371" s="72" t="n"/>
      <c r="O371" s="169" t="n"/>
      <c r="P371" s="66" t="n"/>
      <c r="Q371" s="66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66" t="n"/>
      <c r="C372" s="108" t="n"/>
      <c r="D372" s="68" t="n"/>
      <c r="E372" s="68" t="n"/>
      <c r="F372" s="87" t="n"/>
      <c r="G372" s="87" t="n"/>
      <c r="H372" s="100" t="n"/>
      <c r="I372" s="91" t="n"/>
      <c r="J372" s="79" t="n"/>
      <c r="K372" s="177" t="n"/>
      <c r="L372" s="174" t="n"/>
      <c r="M372" s="189" t="n"/>
      <c r="N372" s="72" t="n"/>
      <c r="O372" s="169" t="n"/>
      <c r="P372" s="66" t="n"/>
      <c r="Q372" s="66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66" t="n"/>
      <c r="C373" s="108" t="n"/>
      <c r="D373" s="68" t="n"/>
      <c r="E373" s="68" t="n"/>
      <c r="F373" s="87" t="n"/>
      <c r="G373" s="87" t="n"/>
      <c r="H373" s="100" t="n"/>
      <c r="I373" s="91" t="n"/>
      <c r="J373" s="79" t="n"/>
      <c r="K373" s="177" t="n"/>
      <c r="L373" s="174" t="n"/>
      <c r="M373" s="189" t="n"/>
      <c r="N373" s="72" t="n"/>
      <c r="O373" s="169" t="n"/>
      <c r="P373" s="66" t="n"/>
      <c r="Q373" s="66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66" t="n"/>
      <c r="C374" s="108" t="n"/>
      <c r="D374" s="68" t="n"/>
      <c r="E374" s="68" t="n"/>
      <c r="F374" s="87" t="n"/>
      <c r="G374" s="87" t="n"/>
      <c r="H374" s="69" t="n"/>
      <c r="I374" s="70" t="n"/>
      <c r="J374" s="79" t="n"/>
      <c r="K374" s="177" t="n"/>
      <c r="L374" s="174" t="n"/>
      <c r="M374" s="176" t="n"/>
      <c r="N374" s="72" t="n"/>
      <c r="O374" s="169" t="n"/>
      <c r="P374" s="66" t="n"/>
      <c r="Q374" s="66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66" t="n"/>
      <c r="C375" s="108" t="n"/>
      <c r="D375" s="68" t="n"/>
      <c r="E375" s="68" t="n"/>
      <c r="F375" s="87" t="n"/>
      <c r="G375" s="343" t="n"/>
      <c r="H375" s="343" t="n"/>
      <c r="I375" s="343" t="n"/>
      <c r="J375" s="343" t="n"/>
      <c r="K375" s="177" t="n"/>
      <c r="L375" s="174" t="n"/>
      <c r="M375" s="343" t="n"/>
      <c r="N375" s="72" t="n"/>
      <c r="O375" s="169" t="n"/>
      <c r="P375" s="66" t="n"/>
      <c r="Q375" s="66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66" t="n"/>
      <c r="C376" s="108" t="n"/>
      <c r="D376" s="68" t="n"/>
      <c r="E376" s="68" t="n"/>
      <c r="F376" s="87" t="n"/>
      <c r="G376" s="340" t="n"/>
      <c r="H376" s="340" t="n"/>
      <c r="I376" s="340" t="n"/>
      <c r="J376" s="340" t="n"/>
      <c r="K376" s="177" t="n"/>
      <c r="L376" s="174" t="n"/>
      <c r="M376" s="340" t="n"/>
      <c r="N376" s="72" t="n"/>
      <c r="O376" s="169" t="n"/>
      <c r="P376" s="66" t="n"/>
      <c r="Q376" s="66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66" t="n"/>
      <c r="C377" s="108" t="n"/>
      <c r="D377" s="68" t="n"/>
      <c r="E377" s="68" t="n"/>
      <c r="F377" s="87" t="n"/>
      <c r="G377" s="87" t="n"/>
      <c r="H377" s="69" t="n"/>
      <c r="I377" s="70" t="n"/>
      <c r="J377" s="79" t="n"/>
      <c r="K377" s="177" t="n"/>
      <c r="L377" s="174" t="n"/>
      <c r="M377" s="176" t="n"/>
      <c r="N377" s="72" t="n"/>
      <c r="O377" s="169" t="n"/>
      <c r="P377" s="66" t="n"/>
      <c r="Q377" s="66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66" t="n"/>
      <c r="C378" s="108" t="n"/>
      <c r="D378" s="68" t="n"/>
      <c r="E378" s="68" t="n"/>
      <c r="F378" s="87" t="n"/>
      <c r="G378" s="343" t="n"/>
      <c r="H378" s="343" t="n"/>
      <c r="I378" s="343" t="n"/>
      <c r="J378" s="343" t="n"/>
      <c r="K378" s="177" t="n"/>
      <c r="L378" s="174" t="n"/>
      <c r="M378" s="343" t="n"/>
      <c r="N378" s="72" t="n"/>
      <c r="O378" s="169" t="n"/>
      <c r="P378" s="66" t="n"/>
      <c r="Q378" s="66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66" t="n"/>
      <c r="C379" s="108" t="n"/>
      <c r="D379" s="68" t="n"/>
      <c r="E379" s="68" t="n"/>
      <c r="F379" s="87" t="n"/>
      <c r="G379" s="340" t="n"/>
      <c r="H379" s="340" t="n"/>
      <c r="I379" s="340" t="n"/>
      <c r="J379" s="340" t="n"/>
      <c r="K379" s="177" t="n"/>
      <c r="L379" s="174" t="n"/>
      <c r="M379" s="340" t="n"/>
      <c r="N379" s="72" t="n"/>
      <c r="O379" s="169" t="n"/>
      <c r="P379" s="66" t="n"/>
      <c r="Q379" s="66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66" t="n"/>
      <c r="C380" s="108" t="n"/>
      <c r="D380" s="68" t="n"/>
      <c r="E380" s="68" t="n"/>
      <c r="F380" s="87" t="n"/>
      <c r="G380" s="87" t="n"/>
      <c r="H380" s="100" t="n"/>
      <c r="I380" s="91" t="n"/>
      <c r="J380" s="93" t="n"/>
      <c r="K380" s="177" t="n"/>
      <c r="L380" s="174" t="n"/>
      <c r="M380" s="189" t="n"/>
      <c r="N380" s="72" t="n"/>
      <c r="O380" s="169" t="n"/>
      <c r="P380" s="66" t="n"/>
      <c r="Q380" s="66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66" t="n"/>
      <c r="C381" s="108" t="n"/>
      <c r="D381" s="68" t="n"/>
      <c r="E381" s="68" t="n"/>
      <c r="F381" s="87" t="n"/>
      <c r="G381" s="87" t="n"/>
      <c r="H381" s="100" t="n"/>
      <c r="I381" s="91" t="n"/>
      <c r="J381" s="93" t="n"/>
      <c r="K381" s="177" t="n"/>
      <c r="L381" s="174" t="n"/>
      <c r="M381" s="189" t="n"/>
      <c r="N381" s="72" t="n"/>
      <c r="O381" s="169" t="n"/>
      <c r="P381" s="66" t="n"/>
      <c r="Q381" s="66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66" t="n"/>
      <c r="C382" s="108" t="n"/>
      <c r="D382" s="68" t="n"/>
      <c r="E382" s="68" t="n"/>
      <c r="F382" s="87" t="n"/>
      <c r="G382" s="87" t="n"/>
      <c r="H382" s="69" t="n"/>
      <c r="I382" s="70" t="n"/>
      <c r="J382" s="79" t="n"/>
      <c r="K382" s="177" t="n"/>
      <c r="L382" s="174" t="n"/>
      <c r="M382" s="176" t="n"/>
      <c r="N382" s="72" t="n"/>
      <c r="O382" s="169" t="n"/>
      <c r="P382" s="66" t="n"/>
      <c r="Q382" s="66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66" t="n"/>
      <c r="C383" s="108" t="n"/>
      <c r="D383" s="68" t="n"/>
      <c r="E383" s="68" t="n"/>
      <c r="F383" s="87" t="n"/>
      <c r="G383" s="340" t="n"/>
      <c r="H383" s="340" t="n"/>
      <c r="I383" s="340" t="n"/>
      <c r="J383" s="340" t="n"/>
      <c r="K383" s="177" t="n"/>
      <c r="L383" s="174" t="n"/>
      <c r="M383" s="340" t="n"/>
      <c r="N383" s="72" t="n"/>
      <c r="O383" s="169" t="n"/>
      <c r="P383" s="66" t="n"/>
      <c r="Q383" s="66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66" t="n"/>
      <c r="C384" s="108" t="n"/>
      <c r="D384" s="68" t="n"/>
      <c r="E384" s="68" t="n"/>
      <c r="F384" s="87" t="n"/>
      <c r="G384" s="87" t="n"/>
      <c r="H384" s="69" t="n"/>
      <c r="I384" s="70" t="n"/>
      <c r="J384" s="79" t="n"/>
      <c r="K384" s="177" t="n"/>
      <c r="L384" s="174" t="n"/>
      <c r="M384" s="176" t="n"/>
      <c r="N384" s="72" t="n"/>
      <c r="O384" s="169" t="n"/>
      <c r="P384" s="66" t="n"/>
      <c r="Q384" s="66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66" t="n"/>
      <c r="C385" s="108" t="n"/>
      <c r="D385" s="68" t="n"/>
      <c r="E385" s="68" t="n"/>
      <c r="F385" s="87" t="n"/>
      <c r="G385" s="343" t="n"/>
      <c r="H385" s="343" t="n"/>
      <c r="I385" s="343" t="n"/>
      <c r="J385" s="343" t="n"/>
      <c r="K385" s="177" t="n"/>
      <c r="L385" s="174" t="n"/>
      <c r="M385" s="343" t="n"/>
      <c r="N385" s="72" t="n"/>
      <c r="O385" s="169" t="n"/>
      <c r="P385" s="66" t="n"/>
      <c r="Q385" s="66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66" t="n"/>
      <c r="C386" s="108" t="n"/>
      <c r="D386" s="68" t="n"/>
      <c r="E386" s="68" t="n"/>
      <c r="F386" s="87" t="n"/>
      <c r="G386" s="340" t="n"/>
      <c r="H386" s="340" t="n"/>
      <c r="I386" s="340" t="n"/>
      <c r="J386" s="340" t="n"/>
      <c r="K386" s="177" t="n"/>
      <c r="L386" s="174" t="n"/>
      <c r="M386" s="340" t="n"/>
      <c r="N386" s="72" t="n"/>
      <c r="O386" s="169" t="n"/>
      <c r="P386" s="66" t="n"/>
      <c r="Q386" s="66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66" t="n"/>
      <c r="C387" s="108" t="n"/>
      <c r="D387" s="68" t="n"/>
      <c r="E387" s="68" t="n"/>
      <c r="F387" s="87" t="n"/>
      <c r="G387" s="87" t="n"/>
      <c r="H387" s="100" t="n"/>
      <c r="I387" s="91" t="n"/>
      <c r="J387" s="93" t="n"/>
      <c r="K387" s="177" t="n"/>
      <c r="L387" s="174" t="n"/>
      <c r="M387" s="189" t="n"/>
      <c r="N387" s="72" t="n"/>
      <c r="O387" s="169" t="n"/>
      <c r="P387" s="66" t="n"/>
      <c r="Q387" s="66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66" t="n"/>
      <c r="C388" s="108" t="n"/>
      <c r="D388" s="68" t="n"/>
      <c r="E388" s="68" t="n"/>
      <c r="F388" s="87" t="n"/>
      <c r="G388" s="87" t="n"/>
      <c r="H388" s="69" t="n"/>
      <c r="I388" s="70" t="n"/>
      <c r="J388" s="79" t="n"/>
      <c r="K388" s="177" t="n"/>
      <c r="L388" s="174" t="n"/>
      <c r="M388" s="139" t="n"/>
      <c r="N388" s="72" t="n"/>
      <c r="O388" s="169" t="n"/>
      <c r="P388" s="66" t="n"/>
      <c r="Q388" s="66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66" t="n"/>
      <c r="C389" s="108" t="n"/>
      <c r="D389" s="68" t="n"/>
      <c r="E389" s="68" t="n"/>
      <c r="F389" s="87" t="n"/>
      <c r="G389" s="87" t="n"/>
      <c r="H389" s="69" t="n"/>
      <c r="I389" s="70" t="n"/>
      <c r="J389" s="79" t="n"/>
      <c r="K389" s="177" t="n"/>
      <c r="L389" s="174" t="n"/>
      <c r="M389" s="176" t="n"/>
      <c r="N389" s="72" t="n"/>
      <c r="O389" s="169" t="n"/>
      <c r="P389" s="66" t="n"/>
      <c r="Q389" s="66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66" t="n"/>
      <c r="C390" s="108" t="n"/>
      <c r="D390" s="68" t="n"/>
      <c r="E390" s="68" t="n"/>
      <c r="F390" s="87" t="n"/>
      <c r="G390" s="343" t="n"/>
      <c r="H390" s="343" t="n"/>
      <c r="I390" s="343" t="n"/>
      <c r="J390" s="343" t="n"/>
      <c r="K390" s="177" t="n"/>
      <c r="L390" s="174" t="n"/>
      <c r="M390" s="343" t="n"/>
      <c r="N390" s="72" t="n"/>
      <c r="O390" s="169" t="n"/>
      <c r="P390" s="66" t="n"/>
      <c r="Q390" s="66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66" t="n"/>
      <c r="C391" s="108" t="n"/>
      <c r="D391" s="68" t="n"/>
      <c r="E391" s="68" t="n"/>
      <c r="F391" s="87" t="n"/>
      <c r="G391" s="340" t="n"/>
      <c r="H391" s="340" t="n"/>
      <c r="I391" s="340" t="n"/>
      <c r="J391" s="340" t="n"/>
      <c r="K391" s="177" t="n"/>
      <c r="L391" s="174" t="n"/>
      <c r="M391" s="340" t="n"/>
      <c r="N391" s="72" t="n"/>
      <c r="O391" s="169" t="n"/>
      <c r="P391" s="66" t="n"/>
      <c r="Q391" s="66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66" t="n"/>
      <c r="C392" s="108" t="n"/>
      <c r="D392" s="68" t="n"/>
      <c r="E392" s="68" t="n"/>
      <c r="F392" s="87" t="n"/>
      <c r="G392" s="87" t="n"/>
      <c r="H392" s="69" t="n"/>
      <c r="I392" s="70" t="n"/>
      <c r="J392" s="79" t="n"/>
      <c r="K392" s="177" t="n"/>
      <c r="L392" s="174" t="n"/>
      <c r="M392" s="176" t="n"/>
      <c r="N392" s="72" t="n"/>
      <c r="O392" s="169" t="n"/>
      <c r="P392" s="66" t="n"/>
      <c r="Q392" s="66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66" t="n"/>
      <c r="C393" s="108" t="n"/>
      <c r="D393" s="68" t="n"/>
      <c r="E393" s="68" t="n"/>
      <c r="F393" s="87" t="n"/>
      <c r="G393" s="340" t="n"/>
      <c r="H393" s="340" t="n"/>
      <c r="I393" s="340" t="n"/>
      <c r="J393" s="340" t="n"/>
      <c r="K393" s="177" t="n"/>
      <c r="L393" s="174" t="n"/>
      <c r="M393" s="340" t="n"/>
      <c r="N393" s="72" t="n"/>
      <c r="O393" s="169" t="n"/>
      <c r="P393" s="66" t="n"/>
      <c r="Q393" s="66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66" t="n"/>
      <c r="C394" s="108" t="n"/>
      <c r="D394" s="68" t="n"/>
      <c r="E394" s="68" t="n"/>
      <c r="F394" s="87" t="n"/>
      <c r="G394" s="87" t="n"/>
      <c r="H394" s="69" t="n"/>
      <c r="I394" s="70" t="n"/>
      <c r="J394" s="79" t="n"/>
      <c r="K394" s="177" t="n"/>
      <c r="L394" s="174" t="n"/>
      <c r="M394" s="176" t="n"/>
      <c r="N394" s="72" t="n"/>
      <c r="O394" s="169" t="n"/>
      <c r="P394" s="66" t="n"/>
      <c r="Q394" s="66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66" t="n"/>
      <c r="C395" s="108" t="n"/>
      <c r="D395" s="68" t="n"/>
      <c r="E395" s="68" t="n"/>
      <c r="F395" s="87" t="n"/>
      <c r="G395" s="340" t="n"/>
      <c r="H395" s="340" t="n"/>
      <c r="I395" s="340" t="n"/>
      <c r="J395" s="340" t="n"/>
      <c r="K395" s="177" t="n"/>
      <c r="L395" s="174" t="n"/>
      <c r="M395" s="340" t="n"/>
      <c r="N395" s="72" t="n"/>
      <c r="O395" s="169" t="n"/>
      <c r="P395" s="66" t="n"/>
      <c r="Q395" s="66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66" t="n"/>
      <c r="C396" s="108" t="n"/>
      <c r="D396" s="68" t="n"/>
      <c r="E396" s="68" t="n"/>
      <c r="F396" s="87" t="n"/>
      <c r="G396" s="87" t="n"/>
      <c r="H396" s="100" t="n"/>
      <c r="I396" s="91" t="n"/>
      <c r="J396" s="93" t="n"/>
      <c r="K396" s="177" t="n"/>
      <c r="L396" s="174" t="n"/>
      <c r="M396" s="189" t="n"/>
      <c r="N396" s="72" t="n"/>
      <c r="O396" s="169" t="n"/>
      <c r="P396" s="66" t="n"/>
      <c r="Q396" s="66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66" t="n"/>
      <c r="C397" s="108" t="n"/>
      <c r="D397" s="68" t="n"/>
      <c r="E397" s="68" t="n"/>
      <c r="F397" s="87" t="n"/>
      <c r="G397" s="87" t="n"/>
      <c r="H397" s="69" t="n"/>
      <c r="I397" s="70" t="n"/>
      <c r="J397" s="79" t="n"/>
      <c r="K397" s="177" t="n"/>
      <c r="L397" s="174" t="n"/>
      <c r="M397" s="176" t="n"/>
      <c r="N397" s="72" t="n"/>
      <c r="O397" s="169" t="n"/>
      <c r="P397" s="66" t="n"/>
      <c r="Q397" s="66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66" t="n"/>
      <c r="C398" s="108" t="n"/>
      <c r="D398" s="68" t="n"/>
      <c r="E398" s="68" t="n"/>
      <c r="F398" s="87" t="n"/>
      <c r="G398" s="343" t="n"/>
      <c r="H398" s="343" t="n"/>
      <c r="I398" s="343" t="n"/>
      <c r="J398" s="343" t="n"/>
      <c r="K398" s="177" t="n"/>
      <c r="L398" s="174" t="n"/>
      <c r="M398" s="343" t="n"/>
      <c r="N398" s="72" t="n"/>
      <c r="O398" s="169" t="n"/>
      <c r="P398" s="66" t="n"/>
      <c r="Q398" s="66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66" t="n"/>
      <c r="C399" s="108" t="n"/>
      <c r="D399" s="68" t="n"/>
      <c r="E399" s="68" t="n"/>
      <c r="F399" s="87" t="n"/>
      <c r="G399" s="340" t="n"/>
      <c r="H399" s="340" t="n"/>
      <c r="I399" s="340" t="n"/>
      <c r="J399" s="340" t="n"/>
      <c r="K399" s="177" t="n"/>
      <c r="L399" s="174" t="n"/>
      <c r="M399" s="340" t="n"/>
      <c r="N399" s="72" t="n"/>
      <c r="O399" s="169" t="n"/>
      <c r="P399" s="66" t="n"/>
      <c r="Q399" s="66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66" t="n"/>
      <c r="C400" s="108" t="n"/>
      <c r="D400" s="68" t="n"/>
      <c r="E400" s="68" t="n"/>
      <c r="F400" s="87" t="n"/>
      <c r="G400" s="87" t="n"/>
      <c r="H400" s="100" t="n"/>
      <c r="I400" s="91" t="n"/>
      <c r="J400" s="93" t="n"/>
      <c r="K400" s="177" t="n"/>
      <c r="L400" s="174" t="n"/>
      <c r="M400" s="189" t="n"/>
      <c r="N400" s="72" t="n"/>
      <c r="O400" s="169" t="n"/>
      <c r="P400" s="66" t="n"/>
      <c r="Q400" s="66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66" t="n"/>
      <c r="C401" s="108" t="n"/>
      <c r="D401" s="68" t="n"/>
      <c r="E401" s="68" t="n"/>
      <c r="F401" s="87" t="n"/>
      <c r="G401" s="87" t="n"/>
      <c r="H401" s="69" t="n"/>
      <c r="I401" s="70" t="n"/>
      <c r="J401" s="79" t="n"/>
      <c r="K401" s="177" t="n"/>
      <c r="L401" s="174" t="n"/>
      <c r="M401" s="347" t="n"/>
      <c r="N401" s="72" t="n"/>
      <c r="O401" s="169" t="n"/>
      <c r="P401" s="66" t="n"/>
      <c r="Q401" s="66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66" t="n"/>
      <c r="C402" s="108" t="n"/>
      <c r="D402" s="68" t="n"/>
      <c r="E402" s="68" t="n"/>
      <c r="F402" s="87" t="n"/>
      <c r="G402" s="343" t="n"/>
      <c r="H402" s="343" t="n"/>
      <c r="I402" s="343" t="n"/>
      <c r="J402" s="343" t="n"/>
      <c r="K402" s="177" t="n"/>
      <c r="L402" s="174" t="n"/>
      <c r="M402" s="343" t="n"/>
      <c r="N402" s="72" t="n"/>
      <c r="O402" s="169" t="n"/>
      <c r="P402" s="66" t="n"/>
      <c r="Q402" s="66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66" t="n"/>
      <c r="C403" s="108" t="n"/>
      <c r="D403" s="68" t="n"/>
      <c r="E403" s="68" t="n"/>
      <c r="F403" s="87" t="n"/>
      <c r="G403" s="340" t="n"/>
      <c r="H403" s="340" t="n"/>
      <c r="I403" s="340" t="n"/>
      <c r="J403" s="340" t="n"/>
      <c r="K403" s="177" t="n"/>
      <c r="L403" s="174" t="n"/>
      <c r="M403" s="340" t="n"/>
      <c r="N403" s="72" t="n"/>
      <c r="O403" s="169" t="n"/>
      <c r="P403" s="66" t="n"/>
      <c r="Q403" s="66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66" t="n"/>
      <c r="C404" s="108" t="n"/>
      <c r="D404" s="68" t="n"/>
      <c r="E404" s="68" t="n"/>
      <c r="F404" s="87" t="n"/>
      <c r="G404" s="87" t="n"/>
      <c r="H404" s="69" t="n"/>
      <c r="I404" s="70" t="n"/>
      <c r="J404" s="79" t="n"/>
      <c r="K404" s="177" t="n"/>
      <c r="L404" s="174" t="n"/>
      <c r="M404" s="176" t="n"/>
      <c r="N404" s="72" t="n"/>
      <c r="O404" s="169" t="n"/>
      <c r="P404" s="66" t="n"/>
      <c r="Q404" s="66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66" t="n"/>
      <c r="C405" s="108" t="n"/>
      <c r="D405" s="68" t="n"/>
      <c r="E405" s="68" t="n"/>
      <c r="F405" s="87" t="n"/>
      <c r="G405" s="340" t="n"/>
      <c r="H405" s="340" t="n"/>
      <c r="I405" s="340" t="n"/>
      <c r="J405" s="340" t="n"/>
      <c r="K405" s="177" t="n"/>
      <c r="L405" s="174" t="n"/>
      <c r="M405" s="340" t="n"/>
      <c r="N405" s="72" t="n"/>
      <c r="O405" s="169" t="n"/>
      <c r="P405" s="66" t="n"/>
      <c r="Q405" s="66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66" t="n"/>
      <c r="C406" s="108" t="n"/>
      <c r="D406" s="68" t="n"/>
      <c r="E406" s="68" t="n"/>
      <c r="F406" s="87" t="n"/>
      <c r="G406" s="87" t="n"/>
      <c r="H406" s="69" t="n"/>
      <c r="I406" s="70" t="n"/>
      <c r="J406" s="79" t="n"/>
      <c r="K406" s="177" t="n"/>
      <c r="L406" s="174" t="n"/>
      <c r="M406" s="176" t="n"/>
      <c r="N406" s="72" t="n"/>
      <c r="O406" s="169" t="n"/>
      <c r="P406" s="66" t="n"/>
      <c r="Q406" s="66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66" t="n"/>
      <c r="C407" s="108" t="n"/>
      <c r="D407" s="68" t="n"/>
      <c r="E407" s="68" t="n"/>
      <c r="F407" s="87" t="n"/>
      <c r="G407" s="340" t="n"/>
      <c r="H407" s="340" t="n"/>
      <c r="I407" s="340" t="n"/>
      <c r="J407" s="340" t="n"/>
      <c r="K407" s="177" t="n"/>
      <c r="L407" s="174" t="n"/>
      <c r="M407" s="340" t="n"/>
      <c r="N407" s="72" t="n"/>
      <c r="O407" s="169" t="n"/>
      <c r="P407" s="66" t="n"/>
      <c r="Q407" s="66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66" t="n"/>
      <c r="C408" s="108" t="n"/>
      <c r="D408" s="68" t="n"/>
      <c r="E408" s="68" t="n"/>
      <c r="F408" s="87" t="n"/>
      <c r="G408" s="87" t="n"/>
      <c r="H408" s="69" t="n"/>
      <c r="I408" s="70" t="n"/>
      <c r="J408" s="79" t="n"/>
      <c r="K408" s="177" t="n"/>
      <c r="L408" s="174" t="n"/>
      <c r="M408" s="176" t="n"/>
      <c r="N408" s="72" t="n"/>
      <c r="O408" s="169" t="n"/>
      <c r="P408" s="66" t="n"/>
      <c r="Q408" s="66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66" t="n"/>
      <c r="C409" s="108" t="n"/>
      <c r="D409" s="68" t="n"/>
      <c r="E409" s="68" t="n"/>
      <c r="F409" s="87" t="n"/>
      <c r="G409" s="340" t="n"/>
      <c r="H409" s="340" t="n"/>
      <c r="I409" s="340" t="n"/>
      <c r="J409" s="340" t="n"/>
      <c r="K409" s="177" t="n"/>
      <c r="L409" s="174" t="n"/>
      <c r="M409" s="340" t="n"/>
      <c r="N409" s="72" t="n"/>
      <c r="O409" s="169" t="n"/>
      <c r="P409" s="66" t="n"/>
      <c r="Q409" s="66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66" t="n"/>
      <c r="C410" s="108" t="n"/>
      <c r="D410" s="68" t="n"/>
      <c r="E410" s="68" t="n"/>
      <c r="F410" s="87" t="n"/>
      <c r="G410" s="87" t="n"/>
      <c r="H410" s="69" t="n"/>
      <c r="I410" s="70" t="n"/>
      <c r="J410" s="79" t="n"/>
      <c r="K410" s="177" t="n"/>
      <c r="L410" s="174" t="n"/>
      <c r="M410" s="139" t="n"/>
      <c r="N410" s="72" t="n"/>
      <c r="O410" s="169" t="n"/>
      <c r="P410" s="66" t="n"/>
      <c r="Q410" s="66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66" t="n"/>
      <c r="C411" s="108" t="n"/>
      <c r="D411" s="68" t="n"/>
      <c r="E411" s="68" t="n"/>
      <c r="F411" s="87" t="n"/>
      <c r="G411" s="87" t="n"/>
      <c r="H411" s="69" t="n"/>
      <c r="I411" s="70" t="n"/>
      <c r="J411" s="79" t="n"/>
      <c r="K411" s="177" t="n"/>
      <c r="L411" s="174" t="n"/>
      <c r="M411" s="176" t="n"/>
      <c r="N411" s="72" t="n"/>
      <c r="O411" s="169" t="n"/>
      <c r="P411" s="66" t="n"/>
      <c r="Q411" s="66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66" t="n"/>
      <c r="C412" s="108" t="n"/>
      <c r="D412" s="68" t="n"/>
      <c r="E412" s="68" t="n"/>
      <c r="F412" s="87" t="n"/>
      <c r="G412" s="340" t="n"/>
      <c r="H412" s="340" t="n"/>
      <c r="I412" s="340" t="n"/>
      <c r="J412" s="340" t="n"/>
      <c r="K412" s="177" t="n"/>
      <c r="L412" s="174" t="n"/>
      <c r="M412" s="340" t="n"/>
      <c r="N412" s="72" t="n"/>
      <c r="O412" s="169" t="n"/>
      <c r="P412" s="66" t="n"/>
      <c r="Q412" s="66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66" t="n"/>
      <c r="C413" s="108" t="n"/>
      <c r="D413" s="68" t="n"/>
      <c r="E413" s="68" t="n"/>
      <c r="F413" s="87" t="n"/>
      <c r="G413" s="87" t="n"/>
      <c r="H413" s="69" t="n"/>
      <c r="I413" s="70" t="n"/>
      <c r="J413" s="79" t="n"/>
      <c r="K413" s="177" t="n"/>
      <c r="L413" s="174" t="n"/>
      <c r="M413" s="176" t="n"/>
      <c r="N413" s="72" t="n"/>
      <c r="O413" s="169" t="n"/>
      <c r="P413" s="66" t="n"/>
      <c r="Q413" s="66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66" t="n"/>
      <c r="C414" s="108" t="n"/>
      <c r="D414" s="68" t="n"/>
      <c r="E414" s="68" t="n"/>
      <c r="F414" s="87" t="n"/>
      <c r="G414" s="343" t="n"/>
      <c r="H414" s="343" t="n"/>
      <c r="I414" s="343" t="n"/>
      <c r="J414" s="343" t="n"/>
      <c r="K414" s="177" t="n"/>
      <c r="L414" s="174" t="n"/>
      <c r="M414" s="343" t="n"/>
      <c r="N414" s="72" t="n"/>
      <c r="O414" s="169" t="n"/>
      <c r="P414" s="66" t="n"/>
      <c r="Q414" s="66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66" t="n"/>
      <c r="C415" s="108" t="n"/>
      <c r="D415" s="68" t="n"/>
      <c r="E415" s="68" t="n"/>
      <c r="F415" s="87" t="n"/>
      <c r="G415" s="340" t="n"/>
      <c r="H415" s="340" t="n"/>
      <c r="I415" s="340" t="n"/>
      <c r="J415" s="340" t="n"/>
      <c r="K415" s="177" t="n"/>
      <c r="L415" s="174" t="n"/>
      <c r="M415" s="340" t="n"/>
      <c r="N415" s="72" t="n"/>
      <c r="O415" s="169" t="n"/>
      <c r="P415" s="66" t="n"/>
      <c r="Q415" s="66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66" t="n"/>
      <c r="C416" s="108" t="n"/>
      <c r="D416" s="68" t="n"/>
      <c r="E416" s="68" t="n"/>
      <c r="F416" s="87" t="n"/>
      <c r="G416" s="87" t="n"/>
      <c r="H416" s="69" t="n"/>
      <c r="I416" s="70" t="n"/>
      <c r="J416" s="79" t="n"/>
      <c r="K416" s="177" t="n"/>
      <c r="L416" s="174" t="n"/>
      <c r="M416" s="139" t="n"/>
      <c r="N416" s="72" t="n"/>
      <c r="O416" s="169" t="n"/>
      <c r="P416" s="66" t="n"/>
      <c r="Q416" s="66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66" t="n"/>
      <c r="C417" s="108" t="n"/>
      <c r="D417" s="68" t="n"/>
      <c r="E417" s="68" t="n"/>
      <c r="F417" s="87" t="n"/>
      <c r="G417" s="87" t="n"/>
      <c r="H417" s="69" t="n"/>
      <c r="I417" s="70" t="n"/>
      <c r="J417" s="79" t="n"/>
      <c r="K417" s="177" t="n"/>
      <c r="L417" s="174" t="n"/>
      <c r="M417" s="176" t="n"/>
      <c r="N417" s="72" t="n"/>
      <c r="O417" s="169" t="n"/>
      <c r="P417" s="66" t="n"/>
      <c r="Q417" s="66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66" t="n"/>
      <c r="C418" s="108" t="n"/>
      <c r="D418" s="68" t="n"/>
      <c r="E418" s="68" t="n"/>
      <c r="F418" s="87" t="n"/>
      <c r="G418" s="340" t="n"/>
      <c r="H418" s="340" t="n"/>
      <c r="I418" s="340" t="n"/>
      <c r="J418" s="340" t="n"/>
      <c r="K418" s="177" t="n"/>
      <c r="L418" s="174" t="n"/>
      <c r="M418" s="340" t="n"/>
      <c r="N418" s="72" t="n"/>
      <c r="O418" s="169" t="n"/>
      <c r="P418" s="66" t="n"/>
      <c r="Q418" s="66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66" t="n"/>
      <c r="C419" s="108" t="n"/>
      <c r="D419" s="68" t="n"/>
      <c r="E419" s="68" t="n"/>
      <c r="F419" s="87" t="n"/>
      <c r="G419" s="87" t="n"/>
      <c r="H419" s="69" t="n"/>
      <c r="I419" s="70" t="n"/>
      <c r="J419" s="79" t="n"/>
      <c r="K419" s="177" t="n"/>
      <c r="L419" s="174" t="n"/>
      <c r="M419" s="176" t="n"/>
      <c r="N419" s="72" t="n"/>
      <c r="O419" s="169" t="n"/>
      <c r="P419" s="66" t="n"/>
      <c r="Q419" s="66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66" t="n"/>
      <c r="C420" s="108" t="n"/>
      <c r="D420" s="68" t="n"/>
      <c r="E420" s="68" t="n"/>
      <c r="F420" s="87" t="n"/>
      <c r="G420" s="340" t="n"/>
      <c r="H420" s="340" t="n"/>
      <c r="I420" s="340" t="n"/>
      <c r="J420" s="340" t="n"/>
      <c r="K420" s="177" t="n"/>
      <c r="L420" s="174" t="n"/>
      <c r="M420" s="340" t="n"/>
      <c r="N420" s="72" t="n"/>
      <c r="O420" s="169" t="n"/>
      <c r="P420" s="66" t="n"/>
      <c r="Q420" s="66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66" t="n"/>
      <c r="C421" s="108" t="n"/>
      <c r="D421" s="68" t="n"/>
      <c r="E421" s="5" t="n"/>
      <c r="F421" s="87" t="n"/>
      <c r="G421" s="99" t="n"/>
      <c r="H421" s="100" t="n"/>
      <c r="I421" s="91" t="n"/>
      <c r="J421" s="93" t="n"/>
      <c r="K421" s="177" t="n"/>
      <c r="L421" s="174" t="n"/>
      <c r="M421" s="189" t="n"/>
      <c r="N421" s="72" t="n"/>
      <c r="O421" s="169" t="n"/>
      <c r="P421" s="66" t="n"/>
      <c r="Q421" s="66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66" t="n"/>
      <c r="C422" s="108" t="n"/>
      <c r="D422" s="68" t="n"/>
      <c r="E422" s="68" t="n"/>
      <c r="F422" s="87" t="n"/>
      <c r="G422" s="87" t="n"/>
      <c r="H422" s="100" t="n"/>
      <c r="I422" s="91" t="n"/>
      <c r="J422" s="93" t="n"/>
      <c r="K422" s="177" t="n"/>
      <c r="L422" s="174" t="n"/>
      <c r="M422" s="189" t="n"/>
      <c r="N422" s="72" t="n"/>
      <c r="O422" s="169" t="n"/>
      <c r="P422" s="66" t="n"/>
      <c r="Q422" s="66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66" t="n"/>
      <c r="C423" s="108" t="n"/>
      <c r="D423" s="68" t="n"/>
      <c r="E423" s="68" t="n"/>
      <c r="F423" s="87" t="n"/>
      <c r="G423" s="87" t="n"/>
      <c r="H423" s="69" t="n"/>
      <c r="I423" s="70" t="n"/>
      <c r="J423" s="79" t="n"/>
      <c r="K423" s="177" t="n"/>
      <c r="L423" s="174" t="n"/>
      <c r="M423" s="176" t="n"/>
      <c r="N423" s="72" t="n"/>
      <c r="O423" s="169" t="n"/>
      <c r="P423" s="66" t="n"/>
      <c r="Q423" s="66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66" t="n"/>
      <c r="C424" s="108" t="n"/>
      <c r="D424" s="68" t="n"/>
      <c r="E424" s="68" t="n"/>
      <c r="F424" s="87" t="n"/>
      <c r="G424" s="340" t="n"/>
      <c r="H424" s="340" t="n"/>
      <c r="I424" s="340" t="n"/>
      <c r="J424" s="340" t="n"/>
      <c r="K424" s="177" t="n"/>
      <c r="L424" s="174" t="n"/>
      <c r="M424" s="340" t="n"/>
      <c r="N424" s="72" t="n"/>
      <c r="O424" s="169" t="n"/>
      <c r="P424" s="66" t="n"/>
      <c r="Q424" s="66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66" t="n"/>
      <c r="C425" s="108" t="n"/>
      <c r="D425" s="68" t="n"/>
      <c r="E425" s="68" t="n"/>
      <c r="F425" s="87" t="n"/>
      <c r="G425" s="87" t="n"/>
      <c r="H425" s="100" t="n"/>
      <c r="I425" s="91" t="n"/>
      <c r="J425" s="93" t="n"/>
      <c r="K425" s="177" t="n"/>
      <c r="L425" s="174" t="n"/>
      <c r="M425" s="189" t="n"/>
      <c r="N425" s="72" t="n"/>
      <c r="O425" s="169" t="n"/>
      <c r="P425" s="66" t="n"/>
      <c r="Q425" s="66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66" t="n"/>
      <c r="C426" s="108" t="n"/>
      <c r="D426" s="68" t="n"/>
      <c r="E426" s="68" t="n"/>
      <c r="F426" s="87" t="n"/>
      <c r="G426" s="99" t="n"/>
      <c r="H426" s="100" t="n"/>
      <c r="I426" s="91" t="n"/>
      <c r="J426" s="93" t="n"/>
      <c r="K426" s="177" t="n"/>
      <c r="L426" s="174" t="n"/>
      <c r="M426" s="189" t="n"/>
      <c r="N426" s="72" t="n"/>
      <c r="O426" s="169" t="n"/>
      <c r="P426" s="66" t="n"/>
      <c r="Q426" s="66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66" t="n"/>
      <c r="C427" s="108" t="n"/>
      <c r="D427" s="68" t="n"/>
      <c r="E427" s="68" t="n"/>
      <c r="F427" s="87" t="n"/>
      <c r="G427" s="99" t="n"/>
      <c r="H427" s="100" t="n"/>
      <c r="I427" s="91" t="n"/>
      <c r="J427" s="93" t="n"/>
      <c r="K427" s="177" t="n"/>
      <c r="L427" s="174" t="n"/>
      <c r="M427" s="189" t="n"/>
      <c r="N427" s="72" t="n"/>
      <c r="O427" s="169" t="n"/>
      <c r="P427" s="66" t="n"/>
      <c r="Q427" s="66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66" t="n"/>
      <c r="C428" s="108" t="n"/>
      <c r="D428" s="68" t="n"/>
      <c r="E428" s="68" t="n"/>
      <c r="F428" s="87" t="n"/>
      <c r="G428" s="87" t="n"/>
      <c r="H428" s="69" t="n"/>
      <c r="I428" s="70" t="n"/>
      <c r="J428" s="79" t="n"/>
      <c r="K428" s="177" t="n"/>
      <c r="L428" s="174" t="n"/>
      <c r="M428" s="176" t="n"/>
      <c r="N428" s="72" t="n"/>
      <c r="O428" s="169" t="n"/>
      <c r="P428" s="66" t="n"/>
      <c r="Q428" s="66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66" t="n"/>
      <c r="C429" s="108" t="n"/>
      <c r="D429" s="68" t="n"/>
      <c r="E429" s="68" t="n"/>
      <c r="F429" s="87" t="n"/>
      <c r="G429" s="340" t="n"/>
      <c r="H429" s="340" t="n"/>
      <c r="I429" s="340" t="n"/>
      <c r="J429" s="340" t="n"/>
      <c r="K429" s="177" t="n"/>
      <c r="L429" s="174" t="n"/>
      <c r="M429" s="340" t="n"/>
      <c r="N429" s="72" t="n"/>
      <c r="O429" s="169" t="n"/>
      <c r="P429" s="66" t="n"/>
      <c r="Q429" s="66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66" t="n"/>
      <c r="C430" s="108" t="n"/>
      <c r="D430" s="68" t="n"/>
      <c r="E430" s="68" t="n"/>
      <c r="F430" s="87" t="n"/>
      <c r="G430" s="99" t="n"/>
      <c r="H430" s="100" t="n"/>
      <c r="I430" s="91" t="n"/>
      <c r="J430" s="93" t="n"/>
      <c r="K430" s="177" t="n"/>
      <c r="L430" s="174" t="n"/>
      <c r="M430" s="189" t="n"/>
      <c r="N430" s="72" t="n"/>
      <c r="O430" s="169" t="n"/>
      <c r="P430" s="66" t="n"/>
      <c r="Q430" s="66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258" t="n"/>
      <c r="B431" s="72" t="n"/>
      <c r="C431" s="79" t="n"/>
      <c r="D431" s="87" t="n"/>
      <c r="E431" s="87" t="n"/>
      <c r="F431" s="87" t="n"/>
      <c r="G431" s="99" t="n"/>
      <c r="H431" s="100" t="n"/>
      <c r="I431" s="91" t="n"/>
      <c r="J431" s="93" t="n"/>
      <c r="K431" s="177" t="n"/>
      <c r="L431" s="174" t="n"/>
      <c r="M431" s="189" t="n"/>
      <c r="N431" s="72" t="n"/>
      <c r="O431" s="259" t="n"/>
      <c r="P431" s="72" t="n"/>
      <c r="Q431" s="72" t="n"/>
      <c r="R431" s="258" t="n"/>
      <c r="S431" s="260" t="n"/>
      <c r="T431" s="260" t="n"/>
      <c r="U431" s="260" t="n"/>
      <c r="V431" s="260" t="n"/>
      <c r="W431" s="260" t="n"/>
      <c r="X431" s="260" t="n"/>
      <c r="Y431" s="260" t="n"/>
      <c r="Z431" s="260" t="n"/>
    </row>
    <row r="432">
      <c r="A432" s="1" t="n"/>
      <c r="B432" s="66" t="n"/>
      <c r="C432" s="108" t="n"/>
      <c r="D432" s="68" t="n"/>
      <c r="E432" s="68" t="n"/>
      <c r="F432" s="87" t="n"/>
      <c r="G432" s="99" t="n"/>
      <c r="H432" s="100" t="n"/>
      <c r="I432" s="91" t="n"/>
      <c r="J432" s="93" t="n"/>
      <c r="K432" s="177" t="n"/>
      <c r="L432" s="174" t="n"/>
      <c r="M432" s="189" t="n"/>
      <c r="N432" s="72" t="n"/>
      <c r="O432" s="169" t="n"/>
      <c r="P432" s="66" t="n"/>
      <c r="Q432" s="66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66" t="n"/>
      <c r="C433" s="108" t="n"/>
      <c r="D433" s="68" t="n"/>
      <c r="E433" s="68" t="n"/>
      <c r="F433" s="87" t="n"/>
      <c r="G433" s="99" t="n"/>
      <c r="H433" s="100" t="n"/>
      <c r="I433" s="91" t="n"/>
      <c r="J433" s="93" t="n"/>
      <c r="K433" s="177" t="n"/>
      <c r="L433" s="174" t="n"/>
      <c r="M433" s="189" t="n"/>
      <c r="N433" s="72" t="n"/>
      <c r="O433" s="169" t="n"/>
      <c r="P433" s="66" t="n"/>
      <c r="Q433" s="66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66" t="n"/>
      <c r="C434" s="108" t="n"/>
      <c r="D434" s="68" t="n"/>
      <c r="E434" s="68" t="n"/>
      <c r="F434" s="87" t="n"/>
      <c r="G434" s="99" t="n"/>
      <c r="H434" s="100" t="n"/>
      <c r="I434" s="91" t="n"/>
      <c r="J434" s="93" t="n"/>
      <c r="K434" s="177" t="n"/>
      <c r="L434" s="174" t="n"/>
      <c r="M434" s="189" t="n"/>
      <c r="N434" s="72" t="n"/>
      <c r="O434" s="169" t="n"/>
      <c r="P434" s="66" t="n"/>
      <c r="Q434" s="66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66" t="n"/>
      <c r="C435" s="108" t="n"/>
      <c r="D435" s="68" t="n"/>
      <c r="E435" s="68" t="n"/>
      <c r="F435" s="87" t="n"/>
      <c r="G435" s="99" t="n"/>
      <c r="H435" s="100" t="n"/>
      <c r="I435" s="91" t="n"/>
      <c r="J435" s="93" t="n"/>
      <c r="K435" s="177" t="n"/>
      <c r="L435" s="174" t="n"/>
      <c r="M435" s="189" t="n"/>
      <c r="N435" s="72" t="n"/>
      <c r="O435" s="169" t="n"/>
      <c r="P435" s="66" t="n"/>
      <c r="Q435" s="66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66" t="n"/>
      <c r="C436" s="108" t="n"/>
      <c r="D436" s="68" t="n"/>
      <c r="E436" s="68" t="n"/>
      <c r="F436" s="87" t="n"/>
      <c r="G436" s="99" t="n"/>
      <c r="H436" s="100" t="n"/>
      <c r="I436" s="91" t="n"/>
      <c r="J436" s="93" t="n"/>
      <c r="K436" s="177" t="n"/>
      <c r="L436" s="174" t="n"/>
      <c r="M436" s="189" t="n"/>
      <c r="N436" s="72" t="n"/>
      <c r="O436" s="169" t="n"/>
      <c r="P436" s="66" t="n"/>
      <c r="Q436" s="66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72" t="n"/>
      <c r="C437" s="108" t="n"/>
      <c r="D437" s="68" t="n"/>
      <c r="E437" s="68" t="n"/>
      <c r="F437" s="87" t="n"/>
      <c r="G437" s="99" t="n"/>
      <c r="H437" s="100" t="n"/>
      <c r="I437" s="91" t="n"/>
      <c r="J437" s="93" t="n"/>
      <c r="K437" s="177" t="n"/>
      <c r="L437" s="174" t="n"/>
      <c r="M437" s="189" t="n"/>
      <c r="N437" s="72" t="n"/>
      <c r="O437" s="169" t="n"/>
      <c r="P437" s="66" t="n"/>
      <c r="Q437" s="66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66" t="n"/>
      <c r="C438" s="108" t="n"/>
      <c r="D438" s="68" t="n"/>
      <c r="E438" s="68" t="n"/>
      <c r="F438" s="87" t="n"/>
      <c r="G438" s="99" t="n"/>
      <c r="H438" s="100" t="n"/>
      <c r="I438" s="91" t="n"/>
      <c r="J438" s="93" t="n"/>
      <c r="K438" s="177" t="n"/>
      <c r="L438" s="174" t="n"/>
      <c r="M438" s="189" t="n"/>
      <c r="N438" s="72" t="n"/>
      <c r="O438" s="169" t="n"/>
      <c r="P438" s="66" t="n"/>
      <c r="Q438" s="66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66" t="n"/>
      <c r="C439" s="108" t="n"/>
      <c r="D439" s="68" t="n"/>
      <c r="E439" s="68" t="n"/>
      <c r="F439" s="87" t="n"/>
      <c r="G439" s="99" t="n"/>
      <c r="H439" s="100" t="n"/>
      <c r="I439" s="91" t="n"/>
      <c r="J439" s="93" t="n"/>
      <c r="K439" s="177" t="n"/>
      <c r="L439" s="174" t="n"/>
      <c r="M439" s="189" t="n"/>
      <c r="N439" s="72" t="n"/>
      <c r="O439" s="169" t="n"/>
      <c r="P439" s="66" t="n"/>
      <c r="Q439" s="66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66" t="n"/>
      <c r="C440" s="108" t="n"/>
      <c r="D440" s="68" t="n"/>
      <c r="E440" s="68" t="n"/>
      <c r="F440" s="87" t="n"/>
      <c r="G440" s="87" t="n"/>
      <c r="H440" s="69" t="n"/>
      <c r="I440" s="70" t="n"/>
      <c r="J440" s="79" t="n"/>
      <c r="K440" s="177" t="n"/>
      <c r="L440" s="174" t="n"/>
      <c r="M440" s="176" t="n"/>
      <c r="N440" s="72" t="n"/>
      <c r="O440" s="169" t="n"/>
      <c r="P440" s="66" t="n"/>
      <c r="Q440" s="66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66" t="n"/>
      <c r="C441" s="108" t="n"/>
      <c r="D441" s="68" t="n"/>
      <c r="E441" s="68" t="n"/>
      <c r="F441" s="87" t="n"/>
      <c r="G441" s="340" t="n"/>
      <c r="H441" s="340" t="n"/>
      <c r="I441" s="340" t="n"/>
      <c r="J441" s="340" t="n"/>
      <c r="K441" s="177" t="n"/>
      <c r="L441" s="174" t="n"/>
      <c r="M441" s="340" t="n"/>
      <c r="N441" s="72" t="n"/>
      <c r="O441" s="169" t="n"/>
      <c r="P441" s="66" t="n"/>
      <c r="Q441" s="66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66" t="n"/>
      <c r="C442" s="108" t="n"/>
      <c r="D442" s="68" t="n"/>
      <c r="E442" s="68" t="n"/>
      <c r="F442" s="87" t="n"/>
      <c r="G442" s="99" t="n"/>
      <c r="H442" s="100" t="n"/>
      <c r="I442" s="91" t="n"/>
      <c r="J442" s="93" t="n"/>
      <c r="K442" s="177" t="n"/>
      <c r="L442" s="174" t="n"/>
      <c r="M442" s="189" t="n"/>
      <c r="N442" s="72" t="n"/>
      <c r="O442" s="169" t="n"/>
      <c r="P442" s="66" t="n"/>
      <c r="Q442" s="66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66" t="n"/>
      <c r="C443" s="108" t="n"/>
      <c r="D443" s="68" t="n"/>
      <c r="E443" s="68" t="n"/>
      <c r="F443" s="87" t="n"/>
      <c r="G443" s="87" t="n"/>
      <c r="H443" s="69" t="n"/>
      <c r="I443" s="70" t="n"/>
      <c r="J443" s="79" t="n"/>
      <c r="K443" s="177" t="n"/>
      <c r="L443" s="174" t="n"/>
      <c r="M443" s="176" t="n"/>
      <c r="N443" s="72" t="n"/>
      <c r="O443" s="169" t="n"/>
      <c r="P443" s="66" t="n"/>
      <c r="Q443" s="66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66" t="n"/>
      <c r="C444" s="108" t="n"/>
      <c r="D444" s="68" t="n"/>
      <c r="E444" s="68" t="n"/>
      <c r="F444" s="87" t="n"/>
      <c r="G444" s="343" t="n"/>
      <c r="H444" s="343" t="n"/>
      <c r="I444" s="343" t="n"/>
      <c r="J444" s="343" t="n"/>
      <c r="K444" s="177" t="n"/>
      <c r="L444" s="174" t="n"/>
      <c r="M444" s="343" t="n"/>
      <c r="N444" s="72" t="n"/>
      <c r="O444" s="169" t="n"/>
      <c r="P444" s="66" t="n"/>
      <c r="Q444" s="66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66" t="n"/>
      <c r="C445" s="108" t="n"/>
      <c r="D445" s="68" t="n"/>
      <c r="E445" s="68" t="n"/>
      <c r="F445" s="87" t="n"/>
      <c r="G445" s="340" t="n"/>
      <c r="H445" s="340" t="n"/>
      <c r="I445" s="340" t="n"/>
      <c r="J445" s="340" t="n"/>
      <c r="K445" s="177" t="n"/>
      <c r="L445" s="174" t="n"/>
      <c r="M445" s="340" t="n"/>
      <c r="N445" s="72" t="n"/>
      <c r="O445" s="169" t="n"/>
      <c r="P445" s="66" t="n"/>
      <c r="Q445" s="66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66" t="n"/>
      <c r="C446" s="108" t="n"/>
      <c r="D446" s="68" t="n"/>
      <c r="E446" s="68" t="n"/>
      <c r="F446" s="87" t="n"/>
      <c r="G446" s="99" t="n"/>
      <c r="H446" s="100" t="n"/>
      <c r="I446" s="91" t="n"/>
      <c r="J446" s="93" t="n"/>
      <c r="K446" s="177" t="n"/>
      <c r="L446" s="174" t="n"/>
      <c r="M446" s="189" t="n"/>
      <c r="N446" s="72" t="n"/>
      <c r="O446" s="169" t="n"/>
      <c r="P446" s="66" t="n"/>
      <c r="Q446" s="66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66" t="n"/>
      <c r="C447" s="108" t="n"/>
      <c r="D447" s="68" t="n"/>
      <c r="E447" s="68" t="n"/>
      <c r="F447" s="87" t="n"/>
      <c r="G447" s="99" t="n"/>
      <c r="H447" s="100" t="n"/>
      <c r="I447" s="91" t="n"/>
      <c r="J447" s="93" t="n"/>
      <c r="K447" s="177" t="n"/>
      <c r="L447" s="174" t="n"/>
      <c r="M447" s="189" t="n"/>
      <c r="N447" s="72" t="n"/>
      <c r="O447" s="169" t="n"/>
      <c r="P447" s="66" t="n"/>
      <c r="Q447" s="66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66" t="n"/>
      <c r="C448" s="108" t="n"/>
      <c r="D448" s="68" t="n"/>
      <c r="E448" s="68" t="n"/>
      <c r="F448" s="87" t="n"/>
      <c r="G448" s="87" t="n"/>
      <c r="H448" s="69" t="n"/>
      <c r="I448" s="70" t="n"/>
      <c r="J448" s="79" t="n"/>
      <c r="K448" s="177" t="n"/>
      <c r="L448" s="174" t="n"/>
      <c r="M448" s="176" t="n"/>
      <c r="N448" s="72" t="n"/>
      <c r="O448" s="169" t="n"/>
      <c r="P448" s="66" t="n"/>
      <c r="Q448" s="66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66" t="n"/>
      <c r="C449" s="108" t="n"/>
      <c r="D449" s="68" t="n"/>
      <c r="E449" s="68" t="n"/>
      <c r="F449" s="87" t="n"/>
      <c r="G449" s="340" t="n"/>
      <c r="H449" s="340" t="n"/>
      <c r="I449" s="340" t="n"/>
      <c r="J449" s="340" t="n"/>
      <c r="K449" s="177" t="n"/>
      <c r="L449" s="174" t="n"/>
      <c r="M449" s="340" t="n"/>
      <c r="N449" s="72" t="n"/>
      <c r="O449" s="169" t="n"/>
      <c r="P449" s="66" t="n"/>
      <c r="Q449" s="66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66" t="n"/>
      <c r="C450" s="108" t="n"/>
      <c r="D450" s="68" t="n"/>
      <c r="E450" s="68" t="n"/>
      <c r="F450" s="87" t="n"/>
      <c r="G450" s="99" t="n"/>
      <c r="H450" s="100" t="n"/>
      <c r="I450" s="91" t="n"/>
      <c r="J450" s="93" t="n"/>
      <c r="K450" s="177" t="n"/>
      <c r="L450" s="174" t="n"/>
      <c r="M450" s="189" t="n"/>
      <c r="N450" s="72" t="n"/>
      <c r="O450" s="169" t="n"/>
      <c r="P450" s="66" t="n"/>
      <c r="Q450" s="66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66" t="n"/>
      <c r="C451" s="108" t="n"/>
      <c r="D451" s="68" t="n"/>
      <c r="E451" s="68" t="n"/>
      <c r="F451" s="87" t="n"/>
      <c r="G451" s="87" t="n"/>
      <c r="H451" s="69" t="n"/>
      <c r="I451" s="70" t="n"/>
      <c r="J451" s="79" t="n"/>
      <c r="K451" s="177" t="n"/>
      <c r="L451" s="174" t="n"/>
      <c r="M451" s="176" t="n"/>
      <c r="N451" s="72" t="n"/>
      <c r="O451" s="169" t="n"/>
      <c r="P451" s="66" t="n"/>
      <c r="Q451" s="66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66" t="n"/>
      <c r="C452" s="108" t="n"/>
      <c r="D452" s="68" t="n"/>
      <c r="E452" s="68" t="n"/>
      <c r="F452" s="343" t="n"/>
      <c r="G452" s="343" t="n"/>
      <c r="H452" s="343" t="n"/>
      <c r="I452" s="343" t="n"/>
      <c r="J452" s="343" t="n"/>
      <c r="K452" s="177" t="n"/>
      <c r="L452" s="174" t="n"/>
      <c r="M452" s="343" t="n"/>
      <c r="N452" s="72" t="n"/>
      <c r="O452" s="169" t="n"/>
      <c r="P452" s="66" t="n"/>
      <c r="Q452" s="66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264" t="n"/>
      <c r="C453" s="265" t="n"/>
      <c r="D453" s="180" t="n"/>
      <c r="E453" s="180" t="n"/>
      <c r="F453" s="340" t="n"/>
      <c r="G453" s="340" t="n"/>
      <c r="H453" s="340" t="n"/>
      <c r="I453" s="340" t="n"/>
      <c r="J453" s="340" t="n"/>
      <c r="K453" s="266" t="n"/>
      <c r="L453" s="168" t="n"/>
      <c r="M453" s="340" t="n"/>
      <c r="N453" s="267" t="n"/>
      <c r="O453" s="268" t="n"/>
      <c r="P453" s="264" t="n"/>
      <c r="Q453" s="264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66" t="n"/>
      <c r="B454" s="66" t="n"/>
      <c r="C454" s="108" t="n"/>
      <c r="D454" s="68" t="n"/>
      <c r="E454" s="68" t="n"/>
      <c r="F454" s="87" t="n"/>
      <c r="G454" s="99" t="n"/>
      <c r="H454" s="100" t="n"/>
      <c r="I454" s="70" t="n"/>
      <c r="J454" s="79" t="n"/>
      <c r="K454" s="177" t="n"/>
      <c r="L454" s="70" t="n"/>
      <c r="M454" s="176" t="n"/>
      <c r="N454" s="72" t="n"/>
      <c r="O454" s="73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  <c r="Z454" s="66" t="n"/>
    </row>
    <row r="455">
      <c r="A455" s="1" t="n"/>
      <c r="B455" s="66" t="n"/>
      <c r="C455" s="108" t="n"/>
      <c r="D455" s="68" t="n"/>
      <c r="E455" s="68" t="n"/>
      <c r="F455" s="87" t="n"/>
      <c r="G455" s="99" t="n"/>
      <c r="H455" s="100" t="n"/>
      <c r="I455" s="91" t="n"/>
      <c r="J455" s="93" t="n"/>
      <c r="K455" s="177" t="n"/>
      <c r="L455" s="174" t="n"/>
      <c r="M455" s="189" t="n"/>
      <c r="N455" s="72" t="n"/>
      <c r="O455" s="169" t="n"/>
      <c r="P455" s="66" t="n"/>
      <c r="Q455" s="66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66" t="n"/>
      <c r="C456" s="108" t="n"/>
      <c r="D456" s="68" t="n"/>
      <c r="E456" s="68" t="n"/>
      <c r="F456" s="87" t="n"/>
      <c r="G456" s="99" t="n"/>
      <c r="H456" s="100" t="n"/>
      <c r="I456" s="91" t="n"/>
      <c r="J456" s="93" t="n"/>
      <c r="K456" s="177" t="n"/>
      <c r="L456" s="174" t="n"/>
      <c r="M456" s="189" t="n"/>
      <c r="N456" s="72" t="n"/>
      <c r="O456" s="169" t="n"/>
      <c r="P456" s="66" t="n"/>
      <c r="Q456" s="66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66" t="n"/>
      <c r="C457" s="108" t="n"/>
      <c r="D457" s="68" t="n"/>
      <c r="E457" s="68" t="n"/>
      <c r="F457" s="87" t="n"/>
      <c r="G457" s="99" t="n"/>
      <c r="H457" s="100" t="n"/>
      <c r="I457" s="91" t="n"/>
      <c r="J457" s="93" t="n"/>
      <c r="K457" s="177" t="n"/>
      <c r="L457" s="174" t="n"/>
      <c r="M457" s="189" t="n"/>
      <c r="N457" s="72" t="n"/>
      <c r="O457" s="169" t="n"/>
      <c r="P457" s="66" t="n"/>
      <c r="Q457" s="66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66" t="n"/>
      <c r="C458" s="108" t="n"/>
      <c r="D458" s="68" t="n"/>
      <c r="E458" s="68" t="n"/>
      <c r="F458" s="87" t="n"/>
      <c r="G458" s="99" t="n"/>
      <c r="H458" s="100" t="n"/>
      <c r="I458" s="91" t="n"/>
      <c r="J458" s="93" t="n"/>
      <c r="K458" s="177" t="n"/>
      <c r="L458" s="174" t="n"/>
      <c r="M458" s="189" t="n"/>
      <c r="N458" s="72" t="n"/>
      <c r="O458" s="169" t="n"/>
      <c r="P458" s="66" t="n"/>
      <c r="Q458" s="66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66" t="n"/>
      <c r="C459" s="108" t="n"/>
      <c r="D459" s="68" t="n"/>
      <c r="E459" s="68" t="n"/>
      <c r="F459" s="87" t="n"/>
      <c r="G459" s="87" t="n"/>
      <c r="H459" s="69" t="n"/>
      <c r="I459" s="70" t="n"/>
      <c r="J459" s="79" t="n"/>
      <c r="K459" s="177" t="n"/>
      <c r="L459" s="174" t="n"/>
      <c r="M459" s="176" t="n"/>
      <c r="N459" s="72" t="n"/>
      <c r="O459" s="169" t="n"/>
      <c r="P459" s="66" t="n"/>
      <c r="Q459" s="66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66" t="n"/>
      <c r="C460" s="108" t="n"/>
      <c r="D460" s="68" t="n"/>
      <c r="E460" s="68" t="n"/>
      <c r="F460" s="87" t="n"/>
      <c r="G460" s="340" t="n"/>
      <c r="H460" s="340" t="n"/>
      <c r="I460" s="340" t="n"/>
      <c r="J460" s="340" t="n"/>
      <c r="K460" s="177" t="n"/>
      <c r="L460" s="174" t="n"/>
      <c r="M460" s="340" t="n"/>
      <c r="N460" s="72" t="n"/>
      <c r="O460" s="169" t="n"/>
      <c r="P460" s="66" t="n"/>
      <c r="Q460" s="66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66" t="n"/>
      <c r="C461" s="108" t="n"/>
      <c r="D461" s="68" t="n"/>
      <c r="E461" s="5" t="n"/>
      <c r="F461" s="87" t="n"/>
      <c r="G461" s="99" t="n"/>
      <c r="H461" s="100" t="n"/>
      <c r="I461" s="91" t="n"/>
      <c r="J461" s="93" t="n"/>
      <c r="K461" s="177" t="n"/>
      <c r="L461" s="174" t="n"/>
      <c r="M461" s="189" t="n"/>
      <c r="N461" s="72" t="n"/>
      <c r="O461" s="169" t="n"/>
      <c r="P461" s="66" t="n"/>
      <c r="Q461" s="66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66" t="n"/>
      <c r="C462" s="108" t="n"/>
      <c r="D462" s="68" t="n"/>
      <c r="E462" s="68" t="n"/>
      <c r="F462" s="87" t="n"/>
      <c r="G462" s="99" t="n"/>
      <c r="H462" s="100" t="n"/>
      <c r="I462" s="91" t="n"/>
      <c r="J462" s="93" t="n"/>
      <c r="K462" s="177" t="n"/>
      <c r="L462" s="174" t="n"/>
      <c r="M462" s="189" t="n"/>
      <c r="N462" s="72" t="n"/>
      <c r="O462" s="169" t="n"/>
      <c r="P462" s="66" t="n"/>
      <c r="Q462" s="66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66" t="n"/>
      <c r="C463" s="108" t="n"/>
      <c r="D463" s="68" t="n"/>
      <c r="E463" s="5" t="n"/>
      <c r="F463" s="87" t="n"/>
      <c r="G463" s="99" t="n"/>
      <c r="H463" s="100" t="n"/>
      <c r="I463" s="91" t="n"/>
      <c r="J463" s="93" t="n"/>
      <c r="K463" s="177" t="n"/>
      <c r="L463" s="174" t="n"/>
      <c r="M463" s="189" t="n"/>
      <c r="N463" s="72" t="n"/>
      <c r="O463" s="169" t="n"/>
      <c r="P463" s="66" t="n"/>
      <c r="Q463" s="66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66" t="n"/>
      <c r="C464" s="108" t="n"/>
      <c r="D464" s="68" t="n"/>
      <c r="E464" s="5" t="n"/>
      <c r="F464" s="87" t="n"/>
      <c r="G464" s="99" t="n"/>
      <c r="H464" s="100" t="n"/>
      <c r="I464" s="91" t="n"/>
      <c r="J464" s="93" t="n"/>
      <c r="K464" s="177" t="n"/>
      <c r="L464" s="174" t="n"/>
      <c r="M464" s="189" t="n"/>
      <c r="N464" s="72" t="n"/>
      <c r="O464" s="169" t="n"/>
      <c r="P464" s="66" t="n"/>
      <c r="Q464" s="66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66" t="n"/>
      <c r="C465" s="108" t="n"/>
      <c r="D465" s="68" t="n"/>
      <c r="E465" s="5" t="n"/>
      <c r="F465" s="87" t="n"/>
      <c r="G465" s="99" t="n"/>
      <c r="H465" s="100" t="n"/>
      <c r="I465" s="91" t="n"/>
      <c r="J465" s="93" t="n"/>
      <c r="K465" s="177" t="n"/>
      <c r="L465" s="174" t="n"/>
      <c r="M465" s="189" t="n"/>
      <c r="N465" s="72" t="n"/>
      <c r="O465" s="169" t="n"/>
      <c r="P465" s="66" t="n"/>
      <c r="Q465" s="66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66" t="n"/>
      <c r="C466" s="108" t="n"/>
      <c r="D466" s="68" t="n"/>
      <c r="E466" s="68" t="n"/>
      <c r="F466" s="68" t="n"/>
      <c r="G466" s="68" t="n"/>
      <c r="H466" s="69" t="n"/>
      <c r="I466" s="70" t="n"/>
      <c r="J466" s="79" t="n"/>
      <c r="K466" s="177" t="n"/>
      <c r="L466" s="174" t="n"/>
      <c r="M466" s="176" t="n"/>
      <c r="N466" s="72" t="n"/>
      <c r="O466" s="169" t="n"/>
      <c r="P466" s="66" t="n"/>
      <c r="Q466" s="66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66" t="n"/>
      <c r="C467" s="108" t="n"/>
      <c r="D467" s="68" t="n"/>
      <c r="E467" s="68" t="n"/>
      <c r="F467" s="68" t="n"/>
      <c r="G467" s="343" t="n"/>
      <c r="H467" s="343" t="n"/>
      <c r="I467" s="343" t="n"/>
      <c r="J467" s="343" t="n"/>
      <c r="K467" s="177" t="n"/>
      <c r="L467" s="174" t="n"/>
      <c r="M467" s="343" t="n"/>
      <c r="N467" s="72" t="n"/>
      <c r="O467" s="169" t="n"/>
      <c r="P467" s="66" t="n"/>
      <c r="Q467" s="66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66" t="n"/>
      <c r="C468" s="108" t="n"/>
      <c r="D468" s="68" t="n"/>
      <c r="E468" s="68" t="n"/>
      <c r="F468" s="68" t="n"/>
      <c r="G468" s="343" t="n"/>
      <c r="H468" s="343" t="n"/>
      <c r="I468" s="343" t="n"/>
      <c r="J468" s="343" t="n"/>
      <c r="K468" s="177" t="n"/>
      <c r="L468" s="174" t="n"/>
      <c r="M468" s="343" t="n"/>
      <c r="N468" s="72" t="n"/>
      <c r="O468" s="169" t="n"/>
      <c r="P468" s="66" t="n"/>
      <c r="Q468" s="66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66" t="n"/>
      <c r="C469" s="108" t="n"/>
      <c r="D469" s="68" t="n"/>
      <c r="E469" s="68" t="n"/>
      <c r="F469" s="68" t="n"/>
      <c r="G469" s="340" t="n"/>
      <c r="H469" s="340" t="n"/>
      <c r="I469" s="340" t="n"/>
      <c r="J469" s="340" t="n"/>
      <c r="K469" s="177" t="n"/>
      <c r="L469" s="174" t="n"/>
      <c r="M469" s="340" t="n"/>
      <c r="N469" s="72" t="n"/>
      <c r="O469" s="169" t="n"/>
      <c r="P469" s="66" t="n"/>
      <c r="Q469" s="66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66" t="n"/>
      <c r="C470" s="108" t="n"/>
      <c r="D470" s="68" t="n"/>
      <c r="E470" s="5" t="n"/>
      <c r="F470" s="68" t="n"/>
      <c r="G470" s="178" t="n"/>
      <c r="H470" s="100" t="n"/>
      <c r="I470" s="91" t="n"/>
      <c r="J470" s="93" t="n"/>
      <c r="K470" s="177" t="n"/>
      <c r="L470" s="174" t="n"/>
      <c r="M470" s="189" t="n"/>
      <c r="N470" s="72" t="n"/>
      <c r="O470" s="169" t="n"/>
      <c r="P470" s="66" t="n"/>
      <c r="Q470" s="66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66" t="n"/>
      <c r="C471" s="108" t="n"/>
      <c r="D471" s="68" t="n"/>
      <c r="E471" s="5" t="n"/>
      <c r="F471" s="68" t="n"/>
      <c r="G471" s="178" t="n"/>
      <c r="H471" s="100" t="n"/>
      <c r="I471" s="91" t="n"/>
      <c r="J471" s="93" t="n"/>
      <c r="K471" s="177" t="n"/>
      <c r="L471" s="174" t="n"/>
      <c r="M471" s="189" t="n"/>
      <c r="N471" s="72" t="n"/>
      <c r="O471" s="169" t="n"/>
      <c r="P471" s="66" t="n"/>
      <c r="Q471" s="66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66" t="n"/>
      <c r="C472" s="108" t="n"/>
      <c r="D472" s="68" t="n"/>
      <c r="E472" s="5" t="n"/>
      <c r="F472" s="68" t="n"/>
      <c r="G472" s="178" t="n"/>
      <c r="H472" s="100" t="n"/>
      <c r="I472" s="91" t="n"/>
      <c r="J472" s="93" t="n"/>
      <c r="K472" s="177" t="n"/>
      <c r="L472" s="174" t="n"/>
      <c r="M472" s="189" t="n"/>
      <c r="N472" s="72" t="n"/>
      <c r="O472" s="169" t="n"/>
      <c r="P472" s="66" t="n"/>
      <c r="Q472" s="66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66" t="n"/>
      <c r="C473" s="108" t="n"/>
      <c r="D473" s="68" t="n"/>
      <c r="E473" s="5" t="n"/>
      <c r="F473" s="68" t="n"/>
      <c r="G473" s="178" t="n"/>
      <c r="H473" s="100" t="n"/>
      <c r="I473" s="91" t="n"/>
      <c r="J473" s="93" t="n"/>
      <c r="K473" s="177" t="n"/>
      <c r="L473" s="174" t="n"/>
      <c r="M473" s="189" t="n"/>
      <c r="N473" s="72" t="n"/>
      <c r="O473" s="169" t="n"/>
      <c r="P473" s="66" t="n"/>
      <c r="Q473" s="66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66" t="n"/>
      <c r="C474" s="108" t="n"/>
      <c r="D474" s="68" t="n"/>
      <c r="E474" s="68" t="n"/>
      <c r="F474" s="68" t="n"/>
      <c r="G474" s="178" t="n"/>
      <c r="H474" s="100" t="n"/>
      <c r="I474" s="91" t="n"/>
      <c r="J474" s="93" t="n"/>
      <c r="K474" s="177" t="n"/>
      <c r="L474" s="174" t="n"/>
      <c r="M474" s="189" t="n"/>
      <c r="N474" s="72" t="n"/>
      <c r="O474" s="169" t="n"/>
      <c r="P474" s="66" t="n"/>
      <c r="Q474" s="66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66" t="n"/>
      <c r="C475" s="108" t="n"/>
      <c r="D475" s="68" t="n"/>
      <c r="E475" s="5" t="n"/>
      <c r="F475" s="68" t="n"/>
      <c r="G475" s="178" t="n"/>
      <c r="H475" s="100" t="n"/>
      <c r="I475" s="91" t="n"/>
      <c r="J475" s="93" t="n"/>
      <c r="K475" s="177" t="n"/>
      <c r="L475" s="174" t="n"/>
      <c r="M475" s="189" t="n"/>
      <c r="N475" s="72" t="n"/>
      <c r="O475" s="169" t="n"/>
      <c r="P475" s="66" t="n"/>
      <c r="Q475" s="66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66" t="n"/>
      <c r="C476" s="108" t="n"/>
      <c r="D476" s="68" t="n"/>
      <c r="E476" s="5" t="n"/>
      <c r="F476" s="68" t="n"/>
      <c r="G476" s="178" t="n"/>
      <c r="H476" s="100" t="n"/>
      <c r="I476" s="91" t="n"/>
      <c r="J476" s="93" t="n"/>
      <c r="K476" s="177" t="n"/>
      <c r="L476" s="174" t="n"/>
      <c r="M476" s="189" t="n"/>
      <c r="N476" s="72" t="n"/>
      <c r="O476" s="169" t="n"/>
      <c r="P476" s="66" t="n"/>
      <c r="Q476" s="66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66" t="n"/>
      <c r="C477" s="108" t="n"/>
      <c r="D477" s="68" t="n"/>
      <c r="E477" s="5" t="n"/>
      <c r="F477" s="68" t="n"/>
      <c r="G477" s="178" t="n"/>
      <c r="H477" s="100" t="n"/>
      <c r="I477" s="91" t="n"/>
      <c r="J477" s="93" t="n"/>
      <c r="K477" s="177" t="n"/>
      <c r="L477" s="174" t="n"/>
      <c r="M477" s="189" t="n"/>
      <c r="N477" s="72" t="n"/>
      <c r="O477" s="169" t="n"/>
      <c r="P477" s="66" t="n"/>
      <c r="Q477" s="66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66" t="n"/>
      <c r="C478" s="108" t="n"/>
      <c r="D478" s="68" t="n"/>
      <c r="E478" s="5" t="n"/>
      <c r="F478" s="68" t="n"/>
      <c r="G478" s="178" t="n"/>
      <c r="H478" s="100" t="n"/>
      <c r="I478" s="91" t="n"/>
      <c r="J478" s="93" t="n"/>
      <c r="K478" s="177" t="n"/>
      <c r="L478" s="174" t="n"/>
      <c r="M478" s="189" t="n"/>
      <c r="N478" s="72" t="n"/>
      <c r="O478" s="169" t="n"/>
      <c r="P478" s="66" t="n"/>
      <c r="Q478" s="66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66" t="n"/>
      <c r="C479" s="108" t="n"/>
      <c r="D479" s="68" t="n"/>
      <c r="E479" s="5" t="n"/>
      <c r="F479" s="68" t="n"/>
      <c r="G479" s="178" t="n"/>
      <c r="H479" s="100" t="n"/>
      <c r="I479" s="91" t="n"/>
      <c r="J479" s="93" t="n"/>
      <c r="K479" s="177" t="n"/>
      <c r="L479" s="174" t="n"/>
      <c r="M479" s="189" t="n"/>
      <c r="N479" s="72" t="n"/>
      <c r="O479" s="169" t="n"/>
      <c r="P479" s="66" t="n"/>
      <c r="Q479" s="66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66" t="n"/>
      <c r="C480" s="108" t="n"/>
      <c r="D480" s="68" t="n"/>
      <c r="E480" s="5" t="n"/>
      <c r="F480" s="68" t="n"/>
      <c r="G480" s="178" t="n"/>
      <c r="H480" s="100" t="n"/>
      <c r="I480" s="91" t="n"/>
      <c r="J480" s="93" t="n"/>
      <c r="K480" s="177" t="n"/>
      <c r="L480" s="174" t="n"/>
      <c r="M480" s="189" t="n"/>
      <c r="N480" s="72" t="n"/>
      <c r="O480" s="169" t="n"/>
      <c r="P480" s="66" t="n"/>
      <c r="Q480" s="66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66" t="n"/>
      <c r="C481" s="108" t="n"/>
      <c r="D481" s="68" t="n"/>
      <c r="E481" s="5" t="n"/>
      <c r="F481" s="68" t="n"/>
      <c r="G481" s="178" t="n"/>
      <c r="H481" s="100" t="n"/>
      <c r="I481" s="91" t="n"/>
      <c r="J481" s="93" t="n"/>
      <c r="K481" s="177" t="n"/>
      <c r="L481" s="174" t="n"/>
      <c r="M481" s="189" t="n"/>
      <c r="N481" s="72" t="n"/>
      <c r="O481" s="169" t="n"/>
      <c r="P481" s="66" t="n"/>
      <c r="Q481" s="66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66" t="n"/>
      <c r="C482" s="108" t="n"/>
      <c r="D482" s="68" t="n"/>
      <c r="E482" s="68" t="n"/>
      <c r="F482" s="68" t="n"/>
      <c r="G482" s="178" t="n"/>
      <c r="H482" s="100" t="n"/>
      <c r="I482" s="91" t="n"/>
      <c r="J482" s="93" t="n"/>
      <c r="K482" s="177" t="n"/>
      <c r="L482" s="174" t="n"/>
      <c r="M482" s="189" t="n"/>
      <c r="N482" s="72" t="n"/>
      <c r="O482" s="169" t="n"/>
      <c r="P482" s="66" t="n"/>
      <c r="Q482" s="66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66" t="n"/>
      <c r="C483" s="108" t="n"/>
      <c r="D483" s="68" t="n"/>
      <c r="E483" s="5" t="n"/>
      <c r="F483" s="68" t="n"/>
      <c r="G483" s="178" t="n"/>
      <c r="H483" s="100" t="n"/>
      <c r="I483" s="91" t="n"/>
      <c r="J483" s="93" t="n"/>
      <c r="K483" s="177" t="n"/>
      <c r="L483" s="174" t="n"/>
      <c r="M483" s="189" t="n"/>
      <c r="N483" s="72" t="n"/>
      <c r="O483" s="169" t="n"/>
      <c r="P483" s="66" t="n"/>
      <c r="Q483" s="66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66" t="n"/>
      <c r="C484" s="108" t="n"/>
      <c r="D484" s="68" t="n"/>
      <c r="E484" s="5" t="n"/>
      <c r="F484" s="68" t="n"/>
      <c r="G484" s="178" t="n"/>
      <c r="H484" s="100" t="n"/>
      <c r="I484" s="91" t="n"/>
      <c r="J484" s="93" t="n"/>
      <c r="K484" s="177" t="n"/>
      <c r="L484" s="174" t="n"/>
      <c r="M484" s="189" t="n"/>
      <c r="N484" s="72" t="n"/>
      <c r="O484" s="169" t="n"/>
      <c r="P484" s="66" t="n"/>
      <c r="Q484" s="66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66" t="n"/>
      <c r="C485" s="108" t="n"/>
      <c r="D485" s="68" t="n"/>
      <c r="E485" s="68" t="n"/>
      <c r="F485" s="68" t="n"/>
      <c r="G485" s="178" t="n"/>
      <c r="H485" s="100" t="n"/>
      <c r="I485" s="91" t="n"/>
      <c r="J485" s="93" t="n"/>
      <c r="K485" s="177" t="n"/>
      <c r="L485" s="174" t="n"/>
      <c r="M485" s="189" t="n"/>
      <c r="N485" s="72" t="n"/>
      <c r="O485" s="169" t="n"/>
      <c r="P485" s="66" t="n"/>
      <c r="Q485" s="66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72" t="n"/>
      <c r="C486" s="79" t="n"/>
      <c r="D486" s="87" t="n"/>
      <c r="E486" s="87" t="n"/>
      <c r="F486" s="87" t="n"/>
      <c r="G486" s="87" t="n"/>
      <c r="H486" s="69" t="n"/>
      <c r="I486" s="70" t="n"/>
      <c r="J486" s="79" t="n"/>
      <c r="K486" s="177" t="n"/>
      <c r="L486" s="174" t="n"/>
      <c r="M486" s="176" t="n"/>
      <c r="N486" s="72" t="n"/>
      <c r="O486" s="169" t="n"/>
      <c r="P486" s="66" t="n"/>
      <c r="Q486" s="66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72" t="n"/>
      <c r="C487" s="79" t="n"/>
      <c r="D487" s="87" t="n"/>
      <c r="E487" s="87" t="n"/>
      <c r="F487" s="87" t="n"/>
      <c r="G487" s="343" t="n"/>
      <c r="H487" s="343" t="n"/>
      <c r="I487" s="343" t="n"/>
      <c r="J487" s="343" t="n"/>
      <c r="K487" s="177" t="n"/>
      <c r="L487" s="174" t="n"/>
      <c r="M487" s="343" t="n"/>
      <c r="N487" s="72" t="n"/>
      <c r="O487" s="169" t="n"/>
      <c r="P487" s="66" t="n"/>
      <c r="Q487" s="66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72" t="n"/>
      <c r="C488" s="79" t="n"/>
      <c r="D488" s="87" t="n"/>
      <c r="E488" s="87" t="n"/>
      <c r="F488" s="87" t="n"/>
      <c r="G488" s="340" t="n"/>
      <c r="H488" s="340" t="n"/>
      <c r="I488" s="340" t="n"/>
      <c r="J488" s="340" t="n"/>
      <c r="K488" s="177" t="n"/>
      <c r="L488" s="174" t="n"/>
      <c r="M488" s="340" t="n"/>
      <c r="N488" s="72" t="n"/>
      <c r="O488" s="169" t="n"/>
      <c r="P488" s="66" t="n"/>
      <c r="Q488" s="66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66" t="n"/>
      <c r="C489" s="108" t="n"/>
      <c r="D489" s="68" t="n"/>
      <c r="E489" s="68" t="n"/>
      <c r="F489" s="68" t="n"/>
      <c r="G489" s="68" t="n"/>
      <c r="H489" s="69" t="n"/>
      <c r="I489" s="70" t="n"/>
      <c r="J489" s="79" t="n"/>
      <c r="K489" s="177" t="n"/>
      <c r="L489" s="174" t="n"/>
      <c r="M489" s="176" t="n"/>
      <c r="N489" s="72" t="n"/>
      <c r="O489" s="169" t="n"/>
      <c r="P489" s="66" t="n"/>
      <c r="Q489" s="66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66" t="n"/>
      <c r="C490" s="108" t="n"/>
      <c r="D490" s="68" t="n"/>
      <c r="E490" s="68" t="n"/>
      <c r="F490" s="68" t="n"/>
      <c r="G490" s="343" t="n"/>
      <c r="H490" s="343" t="n"/>
      <c r="I490" s="343" t="n"/>
      <c r="J490" s="343" t="n"/>
      <c r="K490" s="177" t="n"/>
      <c r="L490" s="174" t="n"/>
      <c r="M490" s="343" t="n"/>
      <c r="N490" s="72" t="n"/>
      <c r="O490" s="169" t="n"/>
      <c r="P490" s="66" t="n"/>
      <c r="Q490" s="66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66" t="n"/>
      <c r="C491" s="108" t="n"/>
      <c r="D491" s="68" t="n"/>
      <c r="E491" s="68" t="n"/>
      <c r="F491" s="68" t="n"/>
      <c r="G491" s="340" t="n"/>
      <c r="H491" s="340" t="n"/>
      <c r="I491" s="340" t="n"/>
      <c r="J491" s="340" t="n"/>
      <c r="K491" s="177" t="n"/>
      <c r="L491" s="174" t="n"/>
      <c r="M491" s="340" t="n"/>
      <c r="N491" s="72" t="n"/>
      <c r="O491" s="169" t="n"/>
      <c r="P491" s="66" t="n"/>
      <c r="Q491" s="66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66" t="n"/>
      <c r="C492" s="108" t="n"/>
      <c r="D492" s="68" t="n"/>
      <c r="E492" s="68" t="n"/>
      <c r="F492" s="68" t="n"/>
      <c r="G492" s="68" t="n"/>
      <c r="H492" s="69" t="n"/>
      <c r="I492" s="70" t="n"/>
      <c r="J492" s="79" t="n"/>
      <c r="K492" s="177" t="n"/>
      <c r="L492" s="174" t="n"/>
      <c r="M492" s="176" t="n"/>
      <c r="N492" s="72" t="n"/>
      <c r="O492" s="169" t="n"/>
      <c r="P492" s="66" t="n"/>
      <c r="Q492" s="66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66" t="n"/>
      <c r="C493" s="108" t="n"/>
      <c r="D493" s="68" t="n"/>
      <c r="E493" s="68" t="n"/>
      <c r="F493" s="68" t="n"/>
      <c r="G493" s="340" t="n"/>
      <c r="H493" s="340" t="n"/>
      <c r="I493" s="340" t="n"/>
      <c r="J493" s="340" t="n"/>
      <c r="K493" s="177" t="n"/>
      <c r="L493" s="174" t="n"/>
      <c r="M493" s="340" t="n"/>
      <c r="N493" s="72" t="n"/>
      <c r="O493" s="169" t="n"/>
      <c r="P493" s="66" t="n"/>
      <c r="Q493" s="66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66" t="n"/>
      <c r="C494" s="108" t="n"/>
      <c r="D494" s="68" t="n"/>
      <c r="E494" s="5" t="n"/>
      <c r="F494" s="68" t="n"/>
      <c r="G494" s="178" t="n"/>
      <c r="H494" s="100" t="n"/>
      <c r="I494" s="91" t="n"/>
      <c r="J494" s="93" t="n"/>
      <c r="K494" s="177" t="n"/>
      <c r="L494" s="174" t="n"/>
      <c r="M494" s="189" t="n"/>
      <c r="N494" s="72" t="n"/>
      <c r="O494" s="169" t="n"/>
      <c r="P494" s="66" t="n"/>
      <c r="Q494" s="66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66" t="n"/>
      <c r="C495" s="108" t="n"/>
      <c r="D495" s="68" t="n"/>
      <c r="E495" s="68" t="n"/>
      <c r="F495" s="68" t="n"/>
      <c r="G495" s="68" t="n"/>
      <c r="H495" s="69" t="n"/>
      <c r="I495" s="70" t="n"/>
      <c r="J495" s="79" t="n"/>
      <c r="K495" s="177" t="n"/>
      <c r="L495" s="174" t="n"/>
      <c r="M495" s="176" t="n"/>
      <c r="N495" s="72" t="n"/>
      <c r="O495" s="169" t="n"/>
      <c r="P495" s="66" t="n"/>
      <c r="Q495" s="66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66" t="n"/>
      <c r="C496" s="108" t="n"/>
      <c r="D496" s="68" t="n"/>
      <c r="E496" s="68" t="n"/>
      <c r="F496" s="68" t="n"/>
      <c r="G496" s="340" t="n"/>
      <c r="H496" s="340" t="n"/>
      <c r="I496" s="340" t="n"/>
      <c r="J496" s="340" t="n"/>
      <c r="K496" s="177" t="n"/>
      <c r="L496" s="174" t="n"/>
      <c r="M496" s="340" t="n"/>
      <c r="N496" s="72" t="n"/>
      <c r="O496" s="169" t="n"/>
      <c r="P496" s="66" t="n"/>
      <c r="Q496" s="66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66" t="n"/>
      <c r="C497" s="108" t="n"/>
      <c r="D497" s="68" t="n"/>
      <c r="E497" s="68" t="n"/>
      <c r="F497" s="68" t="n"/>
      <c r="G497" s="68" t="n"/>
      <c r="H497" s="69" t="n"/>
      <c r="I497" s="87" t="n"/>
      <c r="J497" s="79" t="n"/>
      <c r="K497" s="177" t="n"/>
      <c r="L497" s="174" t="n"/>
      <c r="M497" s="176" t="n"/>
      <c r="N497" s="72" t="n"/>
      <c r="O497" s="169" t="n"/>
      <c r="P497" s="66" t="n"/>
      <c r="Q497" s="66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66" t="n"/>
      <c r="C498" s="108" t="n"/>
      <c r="D498" s="68" t="n"/>
      <c r="E498" s="340" t="n"/>
      <c r="F498" s="340" t="n"/>
      <c r="G498" s="340" t="n"/>
      <c r="H498" s="340" t="n"/>
      <c r="I498" s="340" t="n"/>
      <c r="J498" s="340" t="n"/>
      <c r="K498" s="177" t="n"/>
      <c r="L498" s="174" t="n"/>
      <c r="M498" s="340" t="n"/>
      <c r="N498" s="72" t="n"/>
      <c r="O498" s="169" t="n"/>
      <c r="P498" s="66" t="n"/>
      <c r="Q498" s="66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66" t="n"/>
      <c r="C499" s="108" t="n"/>
      <c r="D499" s="68" t="n"/>
      <c r="E499" s="68" t="n"/>
      <c r="F499" s="68" t="n"/>
      <c r="G499" s="178" t="n"/>
      <c r="H499" s="100" t="n"/>
      <c r="I499" s="91" t="n"/>
      <c r="J499" s="93" t="n"/>
      <c r="K499" s="177" t="n"/>
      <c r="L499" s="174" t="n"/>
      <c r="M499" s="189" t="n"/>
      <c r="N499" s="72" t="n"/>
      <c r="O499" s="169" t="n"/>
      <c r="P499" s="66" t="n"/>
      <c r="Q499" s="66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66" t="n"/>
      <c r="C500" s="108" t="n"/>
      <c r="D500" s="68" t="n"/>
      <c r="E500" s="68" t="n"/>
      <c r="F500" s="68" t="n"/>
      <c r="G500" s="68" t="n"/>
      <c r="H500" s="69" t="n"/>
      <c r="I500" s="70" t="n"/>
      <c r="J500" s="79" t="n"/>
      <c r="K500" s="177" t="n"/>
      <c r="L500" s="174" t="n"/>
      <c r="M500" s="176" t="n"/>
      <c r="N500" s="72" t="n"/>
      <c r="O500" s="169" t="n"/>
      <c r="P500" s="66" t="n"/>
      <c r="Q500" s="66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66" t="n"/>
      <c r="C501" s="108" t="n"/>
      <c r="D501" s="68" t="n"/>
      <c r="E501" s="340" t="n"/>
      <c r="F501" s="340" t="n"/>
      <c r="G501" s="340" t="n"/>
      <c r="H501" s="340" t="n"/>
      <c r="I501" s="340" t="n"/>
      <c r="J501" s="340" t="n"/>
      <c r="K501" s="177" t="n"/>
      <c r="L501" s="174" t="n"/>
      <c r="M501" s="340" t="n"/>
      <c r="N501" s="72" t="n"/>
      <c r="O501" s="169" t="n"/>
      <c r="P501" s="66" t="n"/>
      <c r="Q501" s="66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66" t="n"/>
      <c r="C502" s="108" t="n"/>
      <c r="D502" s="68" t="n"/>
      <c r="E502" s="5" t="n"/>
      <c r="F502" s="178" t="n"/>
      <c r="G502" s="178" t="n"/>
      <c r="H502" s="100" t="n"/>
      <c r="I502" s="91" t="n"/>
      <c r="J502" s="93" t="n"/>
      <c r="K502" s="177" t="n"/>
      <c r="L502" s="174" t="n"/>
      <c r="M502" s="189" t="n"/>
      <c r="N502" s="72" t="n"/>
      <c r="O502" s="169" t="n"/>
      <c r="P502" s="66" t="n"/>
      <c r="Q502" s="66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66" t="n"/>
      <c r="C503" s="108" t="n"/>
      <c r="D503" s="68" t="n"/>
      <c r="E503" s="68" t="n"/>
      <c r="F503" s="68" t="n"/>
      <c r="G503" s="178" t="n"/>
      <c r="H503" s="100" t="n"/>
      <c r="I503" s="91" t="n"/>
      <c r="J503" s="93" t="n"/>
      <c r="K503" s="177" t="n"/>
      <c r="L503" s="174" t="n"/>
      <c r="M503" s="189" t="n"/>
      <c r="N503" s="72" t="n"/>
      <c r="O503" s="169" t="n"/>
      <c r="P503" s="66" t="n"/>
      <c r="Q503" s="66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66" t="n"/>
      <c r="C504" s="108" t="n"/>
      <c r="D504" s="68" t="n"/>
      <c r="E504" s="68" t="n"/>
      <c r="F504" s="68" t="n"/>
      <c r="G504" s="68" t="n"/>
      <c r="H504" s="69" t="n"/>
      <c r="I504" s="70" t="n"/>
      <c r="J504" s="79" t="n"/>
      <c r="K504" s="177" t="n"/>
      <c r="L504" s="174" t="n"/>
      <c r="M504" s="176" t="n"/>
      <c r="N504" s="72" t="n"/>
      <c r="O504" s="169" t="n"/>
      <c r="P504" s="66" t="n"/>
      <c r="Q504" s="66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66" t="n"/>
      <c r="C505" s="108" t="n"/>
      <c r="D505" s="68" t="n"/>
      <c r="E505" s="68" t="n"/>
      <c r="F505" s="340" t="n"/>
      <c r="G505" s="340" t="n"/>
      <c r="H505" s="340" t="n"/>
      <c r="I505" s="340" t="n"/>
      <c r="J505" s="340" t="n"/>
      <c r="K505" s="177" t="n"/>
      <c r="L505" s="174" t="n"/>
      <c r="M505" s="340" t="n"/>
      <c r="N505" s="72" t="n"/>
      <c r="O505" s="169" t="n"/>
      <c r="P505" s="66" t="n"/>
      <c r="Q505" s="66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66" t="n"/>
      <c r="C506" s="108" t="n"/>
      <c r="D506" s="68" t="n"/>
      <c r="E506" s="5" t="n"/>
      <c r="F506" s="178" t="n"/>
      <c r="G506" s="178" t="n"/>
      <c r="H506" s="100" t="n"/>
      <c r="I506" s="91" t="n"/>
      <c r="J506" s="93" t="n"/>
      <c r="K506" s="177" t="n"/>
      <c r="L506" s="174" t="n"/>
      <c r="M506" s="189" t="n"/>
      <c r="N506" s="72" t="n"/>
      <c r="O506" s="169" t="n"/>
      <c r="P506" s="66" t="n"/>
      <c r="Q506" s="66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66" t="n"/>
      <c r="C507" s="108" t="n"/>
      <c r="D507" s="68" t="n"/>
      <c r="E507" s="68" t="n"/>
      <c r="F507" s="68" t="n"/>
      <c r="G507" s="178" t="n"/>
      <c r="H507" s="100" t="n"/>
      <c r="I507" s="91" t="n"/>
      <c r="J507" s="93" t="n"/>
      <c r="K507" s="177" t="n"/>
      <c r="L507" s="174" t="n"/>
      <c r="M507" s="189" t="n"/>
      <c r="N507" s="72" t="n"/>
      <c r="O507" s="169" t="n"/>
      <c r="P507" s="66" t="n"/>
      <c r="Q507" s="66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66" t="n"/>
      <c r="C508" s="108" t="n"/>
      <c r="D508" s="68" t="n"/>
      <c r="E508" s="5" t="n"/>
      <c r="F508" s="68" t="n"/>
      <c r="G508" s="178" t="n"/>
      <c r="H508" s="100" t="n"/>
      <c r="I508" s="91" t="n"/>
      <c r="J508" s="93" t="n"/>
      <c r="K508" s="177" t="n"/>
      <c r="L508" s="174" t="n"/>
      <c r="M508" s="189" t="n"/>
      <c r="N508" s="72" t="n"/>
      <c r="O508" s="169" t="n"/>
      <c r="P508" s="66" t="n"/>
      <c r="Q508" s="66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66" t="n"/>
      <c r="C509" s="108" t="n"/>
      <c r="D509" s="68" t="n"/>
      <c r="E509" s="68" t="n"/>
      <c r="F509" s="68" t="n"/>
      <c r="G509" s="68" t="n"/>
      <c r="H509" s="69" t="n"/>
      <c r="I509" s="70" t="n"/>
      <c r="J509" s="79" t="n"/>
      <c r="K509" s="177" t="n"/>
      <c r="L509" s="174" t="n"/>
      <c r="M509" s="176" t="n"/>
      <c r="N509" s="72" t="n"/>
      <c r="O509" s="169" t="n"/>
      <c r="P509" s="66" t="n"/>
      <c r="Q509" s="66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66" t="n"/>
      <c r="C510" s="108" t="n"/>
      <c r="D510" s="68" t="n"/>
      <c r="E510" s="68" t="n"/>
      <c r="F510" s="340" t="n"/>
      <c r="G510" s="340" t="n"/>
      <c r="H510" s="340" t="n"/>
      <c r="I510" s="340" t="n"/>
      <c r="J510" s="340" t="n"/>
      <c r="K510" s="177" t="n"/>
      <c r="L510" s="174" t="n"/>
      <c r="M510" s="340" t="n"/>
      <c r="N510" s="72" t="n"/>
      <c r="O510" s="169" t="n"/>
      <c r="P510" s="66" t="n"/>
      <c r="Q510" s="66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66" t="n"/>
      <c r="C511" s="108" t="n"/>
      <c r="D511" s="68" t="n"/>
      <c r="E511" s="68" t="n"/>
      <c r="F511" s="178" t="n"/>
      <c r="G511" s="178" t="n"/>
      <c r="H511" s="100" t="n"/>
      <c r="I511" s="91" t="n"/>
      <c r="J511" s="93" t="n"/>
      <c r="K511" s="177" t="n"/>
      <c r="L511" s="174" t="n"/>
      <c r="M511" s="189" t="n"/>
      <c r="N511" s="72" t="n"/>
      <c r="O511" s="169" t="n"/>
      <c r="P511" s="66" t="n"/>
      <c r="Q511" s="66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66" t="n"/>
      <c r="C512" s="108" t="n"/>
      <c r="D512" s="68" t="n"/>
      <c r="E512" s="5" t="n"/>
      <c r="F512" s="178" t="n"/>
      <c r="G512" s="178" t="n"/>
      <c r="H512" s="100" t="n"/>
      <c r="I512" s="91" t="n"/>
      <c r="J512" s="93" t="n"/>
      <c r="K512" s="177" t="n"/>
      <c r="L512" s="174" t="n"/>
      <c r="M512" s="189" t="n"/>
      <c r="N512" s="72" t="n"/>
      <c r="O512" s="169" t="n"/>
      <c r="P512" s="66" t="n"/>
      <c r="Q512" s="66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66" t="n"/>
      <c r="C513" s="108" t="n"/>
      <c r="D513" s="68" t="n"/>
      <c r="E513" s="5" t="n"/>
      <c r="F513" s="68" t="n"/>
      <c r="G513" s="178" t="n"/>
      <c r="H513" s="100" t="n"/>
      <c r="I513" s="91" t="n"/>
      <c r="J513" s="93" t="n"/>
      <c r="K513" s="177" t="n"/>
      <c r="L513" s="174" t="n"/>
      <c r="M513" s="189" t="n"/>
      <c r="N513" s="72" t="n"/>
      <c r="O513" s="169" t="n"/>
      <c r="P513" s="66" t="n"/>
      <c r="Q513" s="66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66" t="n"/>
      <c r="C514" s="108" t="n"/>
      <c r="D514" s="68" t="n"/>
      <c r="E514" s="5" t="n"/>
      <c r="F514" s="68" t="n"/>
      <c r="G514" s="178" t="n"/>
      <c r="H514" s="100" t="n"/>
      <c r="I514" s="91" t="n"/>
      <c r="J514" s="93" t="n"/>
      <c r="K514" s="177" t="n"/>
      <c r="L514" s="174" t="n"/>
      <c r="M514" s="189" t="n"/>
      <c r="N514" s="72" t="n"/>
      <c r="O514" s="169" t="n"/>
      <c r="P514" s="66" t="n"/>
      <c r="Q514" s="66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66" t="n"/>
      <c r="C515" s="108" t="n"/>
      <c r="D515" s="68" t="n"/>
      <c r="E515" s="68" t="n"/>
      <c r="F515" s="68" t="n"/>
      <c r="G515" s="178" t="n"/>
      <c r="H515" s="100" t="n"/>
      <c r="I515" s="91" t="n"/>
      <c r="J515" s="93" t="n"/>
      <c r="K515" s="177" t="n"/>
      <c r="L515" s="174" t="n"/>
      <c r="M515" s="189" t="n"/>
      <c r="N515" s="72" t="n"/>
      <c r="O515" s="169" t="n"/>
      <c r="P515" s="66" t="n"/>
      <c r="Q515" s="66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66" t="n"/>
      <c r="C516" s="108" t="n"/>
      <c r="D516" s="68" t="n"/>
      <c r="E516" s="68" t="n"/>
      <c r="F516" s="68" t="n"/>
      <c r="G516" s="68" t="n"/>
      <c r="H516" s="69" t="n"/>
      <c r="I516" s="70" t="n"/>
      <c r="J516" s="79" t="n"/>
      <c r="K516" s="177" t="n"/>
      <c r="L516" s="70" t="n"/>
      <c r="M516" s="176" t="n"/>
      <c r="N516" s="72" t="n"/>
      <c r="O516" s="169" t="n"/>
      <c r="P516" s="66" t="n"/>
      <c r="Q516" s="66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66" t="n"/>
      <c r="C517" s="108" t="n"/>
      <c r="D517" s="68" t="n"/>
      <c r="E517" s="340" t="n"/>
      <c r="F517" s="68" t="n"/>
      <c r="G517" s="340" t="n"/>
      <c r="H517" s="340" t="n"/>
      <c r="I517" s="340" t="n"/>
      <c r="J517" s="340" t="n"/>
      <c r="K517" s="177" t="n"/>
      <c r="L517" s="340" t="n"/>
      <c r="M517" s="340" t="n"/>
      <c r="N517" s="72" t="n"/>
      <c r="O517" s="169" t="n"/>
      <c r="P517" s="66" t="n"/>
      <c r="Q517" s="66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66" t="n"/>
      <c r="C518" s="108" t="n"/>
      <c r="D518" s="68" t="n"/>
      <c r="E518" s="5" t="n"/>
      <c r="F518" s="68" t="n"/>
      <c r="G518" s="178" t="n"/>
      <c r="H518" s="100" t="n"/>
      <c r="I518" s="91" t="n"/>
      <c r="J518" s="93" t="n"/>
      <c r="K518" s="177" t="n"/>
      <c r="L518" s="174" t="n"/>
      <c r="M518" s="189" t="n"/>
      <c r="N518" s="72" t="n"/>
      <c r="O518" s="169" t="n"/>
      <c r="P518" s="66" t="n"/>
      <c r="Q518" s="66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66" t="n"/>
      <c r="C519" s="108" t="n"/>
      <c r="D519" s="68" t="n"/>
      <c r="E519" s="68" t="n"/>
      <c r="F519" s="68" t="n"/>
      <c r="G519" s="178" t="n"/>
      <c r="H519" s="100" t="n"/>
      <c r="I519" s="91" t="n"/>
      <c r="J519" s="93" t="n"/>
      <c r="K519" s="177" t="n"/>
      <c r="L519" s="174" t="n"/>
      <c r="M519" s="189" t="n"/>
      <c r="N519" s="72" t="n"/>
      <c r="O519" s="169" t="n"/>
      <c r="P519" s="66" t="n"/>
      <c r="Q519" s="66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66" t="n"/>
      <c r="C520" s="108" t="n"/>
      <c r="D520" s="68" t="n"/>
      <c r="E520" s="5" t="n"/>
      <c r="F520" s="68" t="n"/>
      <c r="G520" s="178" t="n"/>
      <c r="H520" s="100" t="n"/>
      <c r="I520" s="91" t="n"/>
      <c r="J520" s="93" t="n"/>
      <c r="K520" s="177" t="n"/>
      <c r="L520" s="174" t="n"/>
      <c r="M520" s="189" t="n"/>
      <c r="N520" s="72" t="n"/>
      <c r="O520" s="169" t="n"/>
      <c r="P520" s="66" t="n"/>
      <c r="Q520" s="66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66" t="n"/>
      <c r="C521" s="108" t="n"/>
      <c r="D521" s="68" t="n"/>
      <c r="E521" s="68" t="n"/>
      <c r="F521" s="68" t="n"/>
      <c r="G521" s="178" t="n"/>
      <c r="H521" s="100" t="n"/>
      <c r="I521" s="91" t="n"/>
      <c r="J521" s="93" t="n"/>
      <c r="K521" s="177" t="n"/>
      <c r="L521" s="174" t="n"/>
      <c r="M521" s="189" t="n"/>
      <c r="N521" s="72" t="n"/>
      <c r="O521" s="169" t="n"/>
      <c r="P521" s="66" t="n"/>
      <c r="Q521" s="66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66" t="n"/>
      <c r="C522" s="108" t="n"/>
      <c r="D522" s="68" t="n"/>
      <c r="E522" s="68" t="n"/>
      <c r="F522" s="68" t="n"/>
      <c r="G522" s="178" t="n"/>
      <c r="H522" s="100" t="n"/>
      <c r="I522" s="91" t="n"/>
      <c r="J522" s="93" t="n"/>
      <c r="K522" s="177" t="n"/>
      <c r="L522" s="174" t="n"/>
      <c r="M522" s="189" t="n"/>
      <c r="N522" s="72" t="n"/>
      <c r="O522" s="169" t="n"/>
      <c r="P522" s="66" t="n"/>
      <c r="Q522" s="66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66" t="n"/>
      <c r="C523" s="108" t="n"/>
      <c r="D523" s="68" t="n"/>
      <c r="E523" s="68" t="n"/>
      <c r="F523" s="68" t="n"/>
      <c r="G523" s="178" t="n"/>
      <c r="H523" s="100" t="n"/>
      <c r="I523" s="91" t="n"/>
      <c r="J523" s="93" t="n"/>
      <c r="K523" s="177" t="n"/>
      <c r="L523" s="174" t="n"/>
      <c r="M523" s="189" t="n"/>
      <c r="N523" s="72" t="n"/>
      <c r="O523" s="169" t="n"/>
      <c r="P523" s="66" t="n"/>
      <c r="Q523" s="66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66" t="n"/>
      <c r="C524" s="108" t="n"/>
      <c r="D524" s="68" t="n"/>
      <c r="E524" s="68" t="n"/>
      <c r="F524" s="68" t="n"/>
      <c r="G524" s="68" t="n"/>
      <c r="H524" s="69" t="n"/>
      <c r="I524" s="70" t="n"/>
      <c r="J524" s="79" t="n"/>
      <c r="K524" s="177" t="n"/>
      <c r="L524" s="174" t="n"/>
      <c r="M524" s="176" t="n"/>
      <c r="N524" s="72" t="n"/>
      <c r="O524" s="169" t="n"/>
      <c r="P524" s="66" t="n"/>
      <c r="Q524" s="66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66" t="n"/>
      <c r="C525" s="108" t="n"/>
      <c r="D525" s="68" t="n"/>
      <c r="E525" s="340" t="n"/>
      <c r="F525" s="68" t="n"/>
      <c r="G525" s="340" t="n"/>
      <c r="H525" s="340" t="n"/>
      <c r="I525" s="340" t="n"/>
      <c r="J525" s="340" t="n"/>
      <c r="K525" s="177" t="n"/>
      <c r="L525" s="174" t="n"/>
      <c r="M525" s="340" t="n"/>
      <c r="N525" s="72" t="n"/>
      <c r="O525" s="169" t="n"/>
      <c r="P525" s="66" t="n"/>
      <c r="Q525" s="66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66" t="n"/>
      <c r="C526" s="108" t="n"/>
      <c r="D526" s="68" t="n"/>
      <c r="E526" s="68" t="n"/>
      <c r="F526" s="68" t="n"/>
      <c r="G526" s="178" t="n"/>
      <c r="H526" s="100" t="n"/>
      <c r="I526" s="91" t="n"/>
      <c r="J526" s="93" t="n"/>
      <c r="K526" s="177" t="n"/>
      <c r="L526" s="174" t="n"/>
      <c r="M526" s="189" t="n"/>
      <c r="N526" s="72" t="n"/>
      <c r="O526" s="169" t="n"/>
      <c r="P526" s="66" t="n"/>
      <c r="Q526" s="66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66" t="n"/>
      <c r="C527" s="108" t="n"/>
      <c r="D527" s="68" t="n"/>
      <c r="E527" s="68" t="n"/>
      <c r="F527" s="68" t="n"/>
      <c r="G527" s="68" t="n"/>
      <c r="H527" s="69" t="n"/>
      <c r="I527" s="70" t="n"/>
      <c r="J527" s="79" t="n"/>
      <c r="K527" s="177" t="n"/>
      <c r="L527" s="174" t="n"/>
      <c r="M527" s="176" t="n"/>
      <c r="N527" s="72" t="n"/>
      <c r="O527" s="169" t="n"/>
      <c r="P527" s="66" t="n"/>
      <c r="Q527" s="66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66" t="n"/>
      <c r="C528" s="108" t="n"/>
      <c r="D528" s="68" t="n"/>
      <c r="E528" s="68" t="n"/>
      <c r="F528" s="68" t="n"/>
      <c r="G528" s="340" t="n"/>
      <c r="H528" s="340" t="n"/>
      <c r="I528" s="340" t="n"/>
      <c r="J528" s="340" t="n"/>
      <c r="K528" s="177" t="n"/>
      <c r="L528" s="174" t="n"/>
      <c r="M528" s="340" t="n"/>
      <c r="N528" s="72" t="n"/>
      <c r="O528" s="169" t="n"/>
      <c r="P528" s="66" t="n"/>
      <c r="Q528" s="66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66" t="n"/>
      <c r="C529" s="108" t="n"/>
      <c r="D529" s="68" t="n"/>
      <c r="E529" s="68" t="n"/>
      <c r="F529" s="68" t="n"/>
      <c r="G529" s="178" t="n"/>
      <c r="H529" s="100" t="n"/>
      <c r="I529" s="91" t="n"/>
      <c r="J529" s="93" t="n"/>
      <c r="K529" s="177" t="n"/>
      <c r="L529" s="174" t="n"/>
      <c r="M529" s="189" t="n"/>
      <c r="N529" s="72" t="n"/>
      <c r="O529" s="169" t="n"/>
      <c r="P529" s="66" t="n"/>
      <c r="Q529" s="66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66" t="n"/>
      <c r="C530" s="108" t="n"/>
      <c r="D530" s="68" t="n"/>
      <c r="E530" s="68" t="n"/>
      <c r="F530" s="68" t="n"/>
      <c r="G530" s="68" t="n"/>
      <c r="H530" s="69" t="n"/>
      <c r="I530" s="70" t="n"/>
      <c r="J530" s="79" t="n"/>
      <c r="K530" s="177" t="n"/>
      <c r="L530" s="174" t="n"/>
      <c r="M530" s="176" t="n"/>
      <c r="N530" s="72" t="n"/>
      <c r="O530" s="169" t="n"/>
      <c r="P530" s="66" t="n"/>
      <c r="Q530" s="66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66" t="n"/>
      <c r="C531" s="108" t="n"/>
      <c r="D531" s="68" t="n"/>
      <c r="E531" s="340" t="n"/>
      <c r="F531" s="340" t="n"/>
      <c r="G531" s="340" t="n"/>
      <c r="H531" s="340" t="n"/>
      <c r="I531" s="340" t="n"/>
      <c r="J531" s="340" t="n"/>
      <c r="K531" s="177" t="n"/>
      <c r="L531" s="174" t="n"/>
      <c r="M531" s="340" t="n"/>
      <c r="N531" s="72" t="n"/>
      <c r="O531" s="169" t="n"/>
      <c r="P531" s="66" t="n"/>
      <c r="Q531" s="66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66" t="n"/>
      <c r="C532" s="108" t="n"/>
      <c r="D532" s="68" t="n"/>
      <c r="E532" s="68" t="n"/>
      <c r="F532" s="68" t="n"/>
      <c r="G532" s="178" t="n"/>
      <c r="H532" s="100" t="n"/>
      <c r="I532" s="91" t="n"/>
      <c r="J532" s="93" t="n"/>
      <c r="K532" s="177" t="n"/>
      <c r="L532" s="174" t="n"/>
      <c r="M532" s="189" t="n"/>
      <c r="N532" s="72" t="n"/>
      <c r="O532" s="169" t="n"/>
      <c r="P532" s="66" t="n"/>
      <c r="Q532" s="66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66" t="n"/>
      <c r="C533" s="108" t="n"/>
      <c r="D533" s="68" t="n"/>
      <c r="E533" s="68" t="n"/>
      <c r="F533" s="68" t="n"/>
      <c r="G533" s="68" t="n"/>
      <c r="H533" s="69" t="n"/>
      <c r="I533" s="70" t="n"/>
      <c r="J533" s="79" t="n"/>
      <c r="K533" s="177" t="n"/>
      <c r="L533" s="174" t="n"/>
      <c r="M533" s="176" t="n"/>
      <c r="N533" s="72" t="n"/>
      <c r="O533" s="169" t="n"/>
      <c r="P533" s="66" t="n"/>
      <c r="Q533" s="66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66" t="n"/>
      <c r="C534" s="108" t="n"/>
      <c r="D534" s="68" t="n"/>
      <c r="E534" s="68" t="n"/>
      <c r="F534" s="68" t="n"/>
      <c r="G534" s="340" t="n"/>
      <c r="H534" s="340" t="n"/>
      <c r="I534" s="340" t="n"/>
      <c r="J534" s="340" t="n"/>
      <c r="K534" s="177" t="n"/>
      <c r="L534" s="174" t="n"/>
      <c r="M534" s="340" t="n"/>
      <c r="N534" s="72" t="n"/>
      <c r="O534" s="169" t="n"/>
      <c r="P534" s="66" t="n"/>
      <c r="Q534" s="66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66" t="n"/>
      <c r="C535" s="108" t="n"/>
      <c r="D535" s="68" t="n"/>
      <c r="E535" s="68" t="n"/>
      <c r="F535" s="68" t="n"/>
      <c r="G535" s="68" t="n"/>
      <c r="H535" s="69" t="n"/>
      <c r="I535" s="91" t="n"/>
      <c r="J535" s="93" t="n"/>
      <c r="K535" s="177" t="n"/>
      <c r="L535" s="174" t="n"/>
      <c r="M535" s="189" t="n"/>
      <c r="N535" s="72" t="n"/>
      <c r="O535" s="169" t="n"/>
      <c r="P535" s="66" t="n"/>
      <c r="Q535" s="66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66" t="n"/>
      <c r="C536" s="108" t="n"/>
      <c r="D536" s="68" t="n"/>
      <c r="E536" s="68" t="n"/>
      <c r="F536" s="68" t="n"/>
      <c r="G536" s="68" t="n"/>
      <c r="H536" s="69" t="n"/>
      <c r="I536" s="91" t="n"/>
      <c r="J536" s="93" t="n"/>
      <c r="K536" s="177" t="n"/>
      <c r="L536" s="174" t="n"/>
      <c r="M536" s="189" t="n"/>
      <c r="N536" s="72" t="n"/>
      <c r="O536" s="169" t="n"/>
      <c r="P536" s="66" t="n"/>
      <c r="Q536" s="66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66" t="n"/>
      <c r="C537" s="108" t="n"/>
      <c r="D537" s="68" t="n"/>
      <c r="E537" s="68" t="n"/>
      <c r="F537" s="68" t="n"/>
      <c r="G537" s="68" t="n"/>
      <c r="H537" s="69" t="n"/>
      <c r="I537" s="91" t="n"/>
      <c r="J537" s="93" t="n"/>
      <c r="K537" s="177" t="n"/>
      <c r="L537" s="174" t="n"/>
      <c r="M537" s="189" t="n"/>
      <c r="N537" s="72" t="n"/>
      <c r="O537" s="169" t="n"/>
      <c r="P537" s="66" t="n"/>
      <c r="Q537" s="66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66" t="n"/>
      <c r="C538" s="108" t="n"/>
      <c r="D538" s="68" t="n"/>
      <c r="E538" s="68" t="n"/>
      <c r="F538" s="68" t="n"/>
      <c r="G538" s="68" t="n"/>
      <c r="H538" s="69" t="n"/>
      <c r="I538" s="91" t="n"/>
      <c r="J538" s="93" t="n"/>
      <c r="K538" s="177" t="n"/>
      <c r="L538" s="174" t="n"/>
      <c r="M538" s="189" t="n"/>
      <c r="N538" s="72" t="n"/>
      <c r="O538" s="169" t="n"/>
      <c r="P538" s="66" t="n"/>
      <c r="Q538" s="66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66" t="n"/>
      <c r="C539" s="108" t="n"/>
      <c r="D539" s="68" t="n"/>
      <c r="E539" s="68" t="n"/>
      <c r="F539" s="68" t="n"/>
      <c r="G539" s="68" t="n"/>
      <c r="H539" s="69" t="n"/>
      <c r="I539" s="91" t="n"/>
      <c r="J539" s="93" t="n"/>
      <c r="K539" s="177" t="n"/>
      <c r="L539" s="174" t="n"/>
      <c r="M539" s="189" t="n"/>
      <c r="N539" s="72" t="n"/>
      <c r="O539" s="169" t="n"/>
      <c r="P539" s="66" t="n"/>
      <c r="Q539" s="66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66" t="n"/>
      <c r="C540" s="108" t="n"/>
      <c r="D540" s="68" t="n"/>
      <c r="E540" s="68" t="n"/>
      <c r="F540" s="68" t="n"/>
      <c r="G540" s="68" t="n"/>
      <c r="H540" s="69" t="n"/>
      <c r="I540" s="91" t="n"/>
      <c r="J540" s="93" t="n"/>
      <c r="K540" s="177" t="n"/>
      <c r="L540" s="174" t="n"/>
      <c r="M540" s="189" t="n"/>
      <c r="N540" s="72" t="n"/>
      <c r="O540" s="169" t="n"/>
      <c r="P540" s="66" t="n"/>
      <c r="Q540" s="66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66" t="n"/>
      <c r="C541" s="108" t="n"/>
      <c r="D541" s="68" t="n"/>
      <c r="E541" s="68" t="n"/>
      <c r="F541" s="68" t="n"/>
      <c r="G541" s="68" t="n"/>
      <c r="H541" s="69" t="n"/>
      <c r="I541" s="91" t="n"/>
      <c r="J541" s="93" t="n"/>
      <c r="K541" s="177" t="n"/>
      <c r="L541" s="174" t="n"/>
      <c r="M541" s="189" t="n"/>
      <c r="N541" s="72" t="n"/>
      <c r="O541" s="169" t="n"/>
      <c r="P541" s="66" t="n"/>
      <c r="Q541" s="66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66" t="n"/>
      <c r="C542" s="108" t="n"/>
      <c r="D542" s="68" t="n"/>
      <c r="E542" s="68" t="n"/>
      <c r="F542" s="68" t="n"/>
      <c r="G542" s="68" t="n"/>
      <c r="H542" s="69" t="n"/>
      <c r="I542" s="91" t="n"/>
      <c r="J542" s="93" t="n"/>
      <c r="K542" s="177" t="n"/>
      <c r="L542" s="174" t="n"/>
      <c r="M542" s="189" t="n"/>
      <c r="N542" s="72" t="n"/>
      <c r="O542" s="169" t="n"/>
      <c r="P542" s="66" t="n"/>
      <c r="Q542" s="66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66" t="n"/>
      <c r="C543" s="108" t="n"/>
      <c r="D543" s="68" t="n"/>
      <c r="E543" s="68" t="n"/>
      <c r="F543" s="68" t="n"/>
      <c r="G543" s="68" t="n"/>
      <c r="H543" s="69" t="n"/>
      <c r="I543" s="91" t="n"/>
      <c r="J543" s="93" t="n"/>
      <c r="K543" s="177" t="n"/>
      <c r="L543" s="174" t="n"/>
      <c r="M543" s="189" t="n"/>
      <c r="N543" s="72" t="n"/>
      <c r="O543" s="169" t="n"/>
      <c r="P543" s="66" t="n"/>
      <c r="Q543" s="66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66" t="n"/>
      <c r="C544" s="108" t="n"/>
      <c r="D544" s="68" t="n"/>
      <c r="E544" s="68" t="n"/>
      <c r="F544" s="68" t="n"/>
      <c r="G544" s="68" t="n"/>
      <c r="H544" s="69" t="n"/>
      <c r="I544" s="91" t="n"/>
      <c r="J544" s="93" t="n"/>
      <c r="K544" s="177" t="n"/>
      <c r="L544" s="174" t="n"/>
      <c r="M544" s="189" t="n"/>
      <c r="N544" s="72" t="n"/>
      <c r="O544" s="169" t="n"/>
      <c r="P544" s="66" t="n"/>
      <c r="Q544" s="66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66" t="n"/>
      <c r="C545" s="108" t="n"/>
      <c r="D545" s="68" t="n"/>
      <c r="E545" s="68" t="n"/>
      <c r="F545" s="68" t="n"/>
      <c r="G545" s="68" t="n"/>
      <c r="H545" s="69" t="n"/>
      <c r="I545" s="70" t="n"/>
      <c r="J545" s="79" t="n"/>
      <c r="K545" s="177" t="n"/>
      <c r="L545" s="174" t="n"/>
      <c r="M545" s="176" t="n"/>
      <c r="N545" s="72" t="n"/>
      <c r="O545" s="169" t="n"/>
      <c r="P545" s="66" t="n"/>
      <c r="Q545" s="66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66" t="n"/>
      <c r="C546" s="108" t="n"/>
      <c r="D546" s="68" t="n"/>
      <c r="E546" s="343" t="n"/>
      <c r="F546" s="68" t="n"/>
      <c r="G546" s="343" t="n"/>
      <c r="H546" s="343" t="n"/>
      <c r="I546" s="343" t="n"/>
      <c r="J546" s="343" t="n"/>
      <c r="K546" s="177" t="n"/>
      <c r="L546" s="174" t="n"/>
      <c r="M546" s="343" t="n"/>
      <c r="N546" s="72" t="n"/>
      <c r="O546" s="169" t="n"/>
      <c r="P546" s="66" t="n"/>
      <c r="Q546" s="66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66" t="n"/>
      <c r="C547" s="108" t="n"/>
      <c r="D547" s="68" t="n"/>
      <c r="E547" s="340" t="n"/>
      <c r="F547" s="68" t="n"/>
      <c r="G547" s="340" t="n"/>
      <c r="H547" s="340" t="n"/>
      <c r="I547" s="340" t="n"/>
      <c r="J547" s="340" t="n"/>
      <c r="K547" s="177" t="n"/>
      <c r="L547" s="174" t="n"/>
      <c r="M547" s="340" t="n"/>
      <c r="N547" s="72" t="n"/>
      <c r="O547" s="169" t="n"/>
      <c r="P547" s="66" t="n"/>
      <c r="Q547" s="66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66" t="n"/>
      <c r="C548" s="108" t="n"/>
      <c r="D548" s="68" t="n"/>
      <c r="E548" s="68" t="n"/>
      <c r="F548" s="68" t="n"/>
      <c r="G548" s="68" t="n"/>
      <c r="H548" s="69" t="n"/>
      <c r="I548" s="91" t="n"/>
      <c r="J548" s="93" t="n"/>
      <c r="K548" s="177" t="n"/>
      <c r="L548" s="174" t="n"/>
      <c r="M548" s="189" t="n"/>
      <c r="N548" s="72" t="n"/>
      <c r="O548" s="169" t="n"/>
      <c r="P548" s="66" t="n"/>
      <c r="Q548" s="66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66" t="n"/>
      <c r="C549" s="108" t="n"/>
      <c r="D549" s="68" t="n"/>
      <c r="E549" s="68" t="n"/>
      <c r="F549" s="68" t="n"/>
      <c r="G549" s="68" t="n"/>
      <c r="H549" s="69" t="n"/>
      <c r="I549" s="91" t="n"/>
      <c r="J549" s="93" t="n"/>
      <c r="K549" s="177" t="n"/>
      <c r="L549" s="174" t="n"/>
      <c r="M549" s="189" t="n"/>
      <c r="N549" s="72" t="n"/>
      <c r="O549" s="169" t="n"/>
      <c r="P549" s="66" t="n"/>
      <c r="Q549" s="66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66" t="n"/>
      <c r="C550" s="108" t="n"/>
      <c r="D550" s="68" t="n"/>
      <c r="E550" s="68" t="n"/>
      <c r="F550" s="68" t="n"/>
      <c r="G550" s="68" t="n"/>
      <c r="H550" s="69" t="n"/>
      <c r="I550" s="91" t="n"/>
      <c r="J550" s="93" t="n"/>
      <c r="K550" s="177" t="n"/>
      <c r="L550" s="174" t="n"/>
      <c r="M550" s="189" t="n"/>
      <c r="N550" s="72" t="n"/>
      <c r="O550" s="169" t="n"/>
      <c r="P550" s="66" t="n"/>
      <c r="Q550" s="66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66" t="n"/>
      <c r="C551" s="108" t="n"/>
      <c r="D551" s="68" t="n"/>
      <c r="E551" s="68" t="n"/>
      <c r="F551" s="68" t="n"/>
      <c r="G551" s="68" t="n"/>
      <c r="H551" s="69" t="n"/>
      <c r="I551" s="91" t="n"/>
      <c r="J551" s="93" t="n"/>
      <c r="K551" s="177" t="n"/>
      <c r="L551" s="174" t="n"/>
      <c r="M551" s="189" t="n"/>
      <c r="N551" s="72" t="n"/>
      <c r="O551" s="169" t="n"/>
      <c r="P551" s="66" t="n"/>
      <c r="Q551" s="66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66" t="n"/>
      <c r="C552" s="108" t="n"/>
      <c r="D552" s="68" t="n"/>
      <c r="E552" s="68" t="n"/>
      <c r="F552" s="68" t="n"/>
      <c r="G552" s="68" t="n"/>
      <c r="H552" s="69" t="n"/>
      <c r="I552" s="91" t="n"/>
      <c r="J552" s="93" t="n"/>
      <c r="K552" s="177" t="n"/>
      <c r="L552" s="174" t="n"/>
      <c r="M552" s="189" t="n"/>
      <c r="N552" s="72" t="n"/>
      <c r="O552" s="169" t="n"/>
      <c r="P552" s="66" t="n"/>
      <c r="Q552" s="66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66" t="n"/>
      <c r="C553" s="108" t="n"/>
      <c r="D553" s="68" t="n"/>
      <c r="E553" s="5" t="n"/>
      <c r="F553" s="68" t="n"/>
      <c r="G553" s="68" t="n"/>
      <c r="H553" s="69" t="n"/>
      <c r="I553" s="91" t="n"/>
      <c r="J553" s="93" t="n"/>
      <c r="K553" s="177" t="n"/>
      <c r="L553" s="174" t="n"/>
      <c r="M553" s="189" t="n"/>
      <c r="N553" s="72" t="n"/>
      <c r="O553" s="169" t="n"/>
      <c r="P553" s="66" t="n"/>
      <c r="Q553" s="66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66" t="n"/>
      <c r="C554" s="108" t="n"/>
      <c r="D554" s="68" t="n"/>
      <c r="E554" s="68" t="n"/>
      <c r="F554" s="68" t="n"/>
      <c r="G554" s="68" t="n"/>
      <c r="H554" s="69" t="n"/>
      <c r="I554" s="91" t="n"/>
      <c r="J554" s="93" t="n"/>
      <c r="K554" s="177" t="n"/>
      <c r="L554" s="174" t="n"/>
      <c r="M554" s="189" t="n"/>
      <c r="N554" s="72" t="n"/>
      <c r="O554" s="169" t="n"/>
      <c r="P554" s="66" t="n"/>
      <c r="Q554" s="66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66" t="n"/>
      <c r="C555" s="108" t="n"/>
      <c r="D555" s="68" t="n"/>
      <c r="E555" s="68" t="n"/>
      <c r="F555" s="68" t="n"/>
      <c r="G555" s="68" t="n"/>
      <c r="H555" s="69" t="n"/>
      <c r="I555" s="70" t="n"/>
      <c r="J555" s="79" t="n"/>
      <c r="K555" s="177" t="n"/>
      <c r="L555" s="174" t="n"/>
      <c r="M555" s="176" t="n"/>
      <c r="N555" s="72" t="n"/>
      <c r="O555" s="169" t="n"/>
      <c r="P555" s="66" t="n"/>
      <c r="Q555" s="66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66" t="n"/>
      <c r="C556" s="108" t="n"/>
      <c r="D556" s="68" t="n"/>
      <c r="E556" s="340" t="n"/>
      <c r="F556" s="340" t="n"/>
      <c r="G556" s="340" t="n"/>
      <c r="H556" s="340" t="n"/>
      <c r="I556" s="340" t="n"/>
      <c r="J556" s="340" t="n"/>
      <c r="K556" s="177" t="n"/>
      <c r="L556" s="174" t="n"/>
      <c r="M556" s="340" t="n"/>
      <c r="N556" s="72" t="n"/>
      <c r="O556" s="169" t="n"/>
      <c r="P556" s="66" t="n"/>
      <c r="Q556" s="66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66" t="n"/>
      <c r="C557" s="108" t="n"/>
      <c r="D557" s="68" t="n"/>
      <c r="E557" s="68" t="n"/>
      <c r="F557" s="68" t="n"/>
      <c r="G557" s="68" t="n"/>
      <c r="H557" s="69" t="n"/>
      <c r="I557" s="91" t="n"/>
      <c r="J557" s="93" t="n"/>
      <c r="K557" s="177" t="n"/>
      <c r="L557" s="174" t="n"/>
      <c r="M557" s="189" t="n"/>
      <c r="N557" s="72" t="n"/>
      <c r="O557" s="169" t="n"/>
      <c r="P557" s="66" t="n"/>
      <c r="Q557" s="66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66" t="n"/>
      <c r="C558" s="108" t="n"/>
      <c r="D558" s="68" t="n"/>
      <c r="E558" s="68" t="n"/>
      <c r="F558" s="68" t="n"/>
      <c r="G558" s="68" t="n"/>
      <c r="H558" s="69" t="n"/>
      <c r="I558" s="70" t="n"/>
      <c r="J558" s="79" t="n"/>
      <c r="K558" s="177" t="n"/>
      <c r="L558" s="174" t="n"/>
      <c r="M558" s="176" t="n"/>
      <c r="N558" s="72" t="n"/>
      <c r="O558" s="169" t="n"/>
      <c r="P558" s="66" t="n"/>
      <c r="Q558" s="66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66" t="n"/>
      <c r="C559" s="108" t="n"/>
      <c r="D559" s="68" t="n"/>
      <c r="E559" s="340" t="n"/>
      <c r="F559" s="68" t="n"/>
      <c r="G559" s="340" t="n"/>
      <c r="H559" s="340" t="n"/>
      <c r="I559" s="340" t="n"/>
      <c r="J559" s="340" t="n"/>
      <c r="K559" s="177" t="n"/>
      <c r="L559" s="174" t="n"/>
      <c r="M559" s="340" t="n"/>
      <c r="N559" s="72" t="n"/>
      <c r="O559" s="169" t="n"/>
      <c r="P559" s="66" t="n"/>
      <c r="Q559" s="66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66" t="n"/>
      <c r="C560" s="108" t="n"/>
      <c r="D560" s="68" t="n"/>
      <c r="E560" s="68" t="n"/>
      <c r="F560" s="68" t="n"/>
      <c r="G560" s="68" t="n"/>
      <c r="H560" s="69" t="n"/>
      <c r="I560" s="70" t="n"/>
      <c r="J560" s="79" t="n"/>
      <c r="K560" s="345" t="n"/>
      <c r="L560" s="174" t="n"/>
      <c r="M560" s="176" t="n"/>
      <c r="N560" s="72" t="n"/>
      <c r="O560" s="169" t="n"/>
      <c r="P560" s="66" t="n"/>
      <c r="Q560" s="66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66" t="n"/>
      <c r="C561" s="108" t="n"/>
      <c r="D561" s="68" t="n"/>
      <c r="E561" s="68" t="n"/>
      <c r="F561" s="343" t="n"/>
      <c r="G561" s="343" t="n"/>
      <c r="H561" s="343" t="n"/>
      <c r="I561" s="343" t="n"/>
      <c r="J561" s="343" t="n"/>
      <c r="K561" s="343" t="n"/>
      <c r="L561" s="174" t="n"/>
      <c r="M561" s="343" t="n"/>
      <c r="N561" s="72" t="n"/>
      <c r="O561" s="169" t="n"/>
      <c r="P561" s="66" t="n"/>
      <c r="Q561" s="66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66" t="n"/>
      <c r="C562" s="108" t="n"/>
      <c r="D562" s="68" t="n"/>
      <c r="E562" s="68" t="n"/>
      <c r="F562" s="340" t="n"/>
      <c r="G562" s="340" t="n"/>
      <c r="H562" s="340" t="n"/>
      <c r="I562" s="340" t="n"/>
      <c r="J562" s="340" t="n"/>
      <c r="K562" s="340" t="n"/>
      <c r="L562" s="174" t="n"/>
      <c r="M562" s="340" t="n"/>
      <c r="N562" s="72" t="n"/>
      <c r="O562" s="169" t="n"/>
      <c r="P562" s="66" t="n"/>
      <c r="Q562" s="66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66" t="n"/>
      <c r="C563" s="108" t="n"/>
      <c r="D563" s="68" t="n"/>
      <c r="E563" s="5" t="n"/>
      <c r="F563" s="178" t="n"/>
      <c r="G563" s="68" t="n"/>
      <c r="H563" s="69" t="n"/>
      <c r="I563" s="91" t="n"/>
      <c r="J563" s="93" t="n"/>
      <c r="K563" s="175" t="n"/>
      <c r="L563" s="174" t="n"/>
      <c r="M563" s="189" t="n"/>
      <c r="N563" s="72" t="n"/>
      <c r="O563" s="169" t="n"/>
      <c r="P563" s="66" t="n"/>
      <c r="Q563" s="66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66" t="n"/>
      <c r="C564" s="108" t="n"/>
      <c r="D564" s="68" t="n"/>
      <c r="E564" s="68" t="n"/>
      <c r="F564" s="68" t="n"/>
      <c r="G564" s="68" t="n"/>
      <c r="H564" s="69" t="n"/>
      <c r="I564" s="91" t="n"/>
      <c r="J564" s="93" t="n"/>
      <c r="K564" s="177" t="n"/>
      <c r="L564" s="174" t="n"/>
      <c r="M564" s="189" t="n"/>
      <c r="N564" s="72" t="n"/>
      <c r="O564" s="169" t="n"/>
      <c r="P564" s="66" t="n"/>
      <c r="Q564" s="66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66" t="n"/>
      <c r="C565" s="108" t="n"/>
      <c r="D565" s="68" t="n"/>
      <c r="E565" s="5" t="n"/>
      <c r="F565" s="68" t="n"/>
      <c r="G565" s="68" t="n"/>
      <c r="H565" s="69" t="n"/>
      <c r="I565" s="91" t="n"/>
      <c r="J565" s="93" t="n"/>
      <c r="K565" s="177" t="n"/>
      <c r="L565" s="174" t="n"/>
      <c r="M565" s="189" t="n"/>
      <c r="N565" s="72" t="n"/>
      <c r="O565" s="169" t="n"/>
      <c r="P565" s="66" t="n"/>
      <c r="Q565" s="66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264" t="n"/>
      <c r="C566" s="265" t="n"/>
      <c r="D566" s="180" t="n"/>
      <c r="E566" s="180" t="n"/>
      <c r="F566" s="180" t="n"/>
      <c r="G566" s="180" t="n"/>
      <c r="H566" s="82" t="n"/>
      <c r="I566" s="120" t="n"/>
      <c r="J566" s="121" t="n"/>
      <c r="K566" s="266" t="n"/>
      <c r="L566" s="168" t="n"/>
      <c r="M566" s="194" t="n"/>
      <c r="N566" s="267" t="n"/>
      <c r="O566" s="268" t="n"/>
      <c r="P566" s="264" t="n"/>
      <c r="Q566" s="264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66" t="n"/>
      <c r="B567" s="66" t="n"/>
      <c r="C567" s="108" t="n"/>
      <c r="D567" s="68" t="n"/>
      <c r="E567" s="5" t="n"/>
      <c r="F567" s="68" t="n"/>
      <c r="G567" s="180" t="n"/>
      <c r="H567" s="82" t="n"/>
      <c r="I567" s="70" t="n"/>
      <c r="J567" s="79" t="n"/>
      <c r="K567" s="177" t="n"/>
      <c r="L567" s="70" t="n"/>
      <c r="M567" s="176" t="n"/>
      <c r="N567" s="72" t="n"/>
      <c r="O567" s="73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  <c r="Z567" s="66" t="n"/>
    </row>
    <row r="568">
      <c r="A568" s="1" t="n"/>
      <c r="B568" s="292" t="n"/>
      <c r="C568" s="293" t="n"/>
      <c r="D568" s="178" t="n"/>
      <c r="E568" s="178" t="n"/>
      <c r="F568" s="178" t="n"/>
      <c r="G568" s="68" t="n"/>
      <c r="H568" s="69" t="n"/>
      <c r="I568" s="70" t="n"/>
      <c r="J568" s="79" t="n"/>
      <c r="K568" s="294" t="n"/>
      <c r="L568" s="295" t="n"/>
      <c r="M568" s="176" t="n"/>
      <c r="N568" s="296" t="n"/>
      <c r="O568" s="297" t="n"/>
      <c r="P568" s="292" t="n"/>
      <c r="Q568" s="292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66" t="n"/>
      <c r="C569" s="108" t="n"/>
      <c r="D569" s="68" t="n"/>
      <c r="E569" s="68" t="n"/>
      <c r="F569" s="68" t="n"/>
      <c r="G569" s="340" t="n"/>
      <c r="H569" s="340" t="n"/>
      <c r="I569" s="340" t="n"/>
      <c r="J569" s="340" t="n"/>
      <c r="K569" s="177" t="n"/>
      <c r="L569" s="174" t="n"/>
      <c r="M569" s="340" t="n"/>
      <c r="N569" s="72" t="n"/>
      <c r="O569" s="169" t="n"/>
      <c r="P569" s="66" t="n"/>
      <c r="Q569" s="66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66" t="n"/>
      <c r="C570" s="108" t="n"/>
      <c r="D570" s="68" t="n"/>
      <c r="E570" s="68" t="n"/>
      <c r="F570" s="68" t="n"/>
      <c r="G570" s="68" t="n"/>
      <c r="H570" s="69" t="n"/>
      <c r="I570" s="70" t="n"/>
      <c r="J570" s="79" t="n"/>
      <c r="K570" s="177" t="n"/>
      <c r="L570" s="174" t="n"/>
      <c r="M570" s="176" t="n"/>
      <c r="N570" s="72" t="n"/>
      <c r="O570" s="169" t="n"/>
      <c r="P570" s="66" t="n"/>
      <c r="Q570" s="66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66" t="n"/>
      <c r="C571" s="108" t="n"/>
      <c r="D571" s="68" t="n"/>
      <c r="E571" s="68" t="n"/>
      <c r="F571" s="68" t="n"/>
      <c r="G571" s="340" t="n"/>
      <c r="H571" s="340" t="n"/>
      <c r="I571" s="340" t="n"/>
      <c r="J571" s="340" t="n"/>
      <c r="K571" s="177" t="n"/>
      <c r="L571" s="174" t="n"/>
      <c r="M571" s="340" t="n"/>
      <c r="N571" s="72" t="n"/>
      <c r="O571" s="169" t="n"/>
      <c r="P571" s="66" t="n"/>
      <c r="Q571" s="66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66" t="n"/>
      <c r="C572" s="108" t="n"/>
      <c r="D572" s="180" t="n"/>
      <c r="E572" s="5" t="n"/>
      <c r="F572" s="180" t="n"/>
      <c r="G572" s="68" t="n"/>
      <c r="H572" s="69" t="n"/>
      <c r="I572" s="70" t="n"/>
      <c r="J572" s="79" t="n"/>
      <c r="K572" s="177" t="n"/>
      <c r="L572" s="70" t="n"/>
      <c r="M572" s="176" t="n"/>
      <c r="N572" s="72" t="n"/>
      <c r="O572" s="169" t="n"/>
      <c r="P572" s="66" t="n"/>
      <c r="Q572" s="66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66" t="n"/>
      <c r="C573" s="108" t="n"/>
      <c r="D573" s="68" t="n"/>
      <c r="E573" s="180" t="n"/>
      <c r="F573" s="68" t="n"/>
      <c r="G573" s="213" t="n"/>
      <c r="H573" s="119" t="n"/>
      <c r="I573" s="91" t="n"/>
      <c r="J573" s="93" t="n"/>
      <c r="K573" s="294" t="n"/>
      <c r="L573" s="295" t="n"/>
      <c r="M573" s="189" t="n"/>
      <c r="N573" s="72" t="n"/>
      <c r="O573" s="169" t="n"/>
      <c r="P573" s="66" t="n"/>
      <c r="Q573" s="66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66" t="n"/>
      <c r="C574" s="108" t="n"/>
      <c r="D574" s="68" t="n"/>
      <c r="E574" s="68" t="n"/>
      <c r="F574" s="68" t="n"/>
      <c r="G574" s="68" t="n"/>
      <c r="H574" s="69" t="n"/>
      <c r="I574" s="70" t="n"/>
      <c r="J574" s="79" t="n"/>
      <c r="K574" s="177" t="n"/>
      <c r="L574" s="174" t="n"/>
      <c r="M574" s="176" t="n"/>
      <c r="N574" s="72" t="n"/>
      <c r="O574" s="169" t="n"/>
      <c r="P574" s="66" t="n"/>
      <c r="Q574" s="66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66" t="n"/>
      <c r="C575" s="108" t="n"/>
      <c r="D575" s="68" t="n"/>
      <c r="E575" s="68" t="n"/>
      <c r="F575" s="68" t="n"/>
      <c r="G575" s="340" t="n"/>
      <c r="H575" s="340" t="n"/>
      <c r="I575" s="340" t="n"/>
      <c r="J575" s="340" t="n"/>
      <c r="K575" s="177" t="n"/>
      <c r="L575" s="174" t="n"/>
      <c r="M575" s="340" t="n"/>
      <c r="N575" s="72" t="n"/>
      <c r="O575" s="169" t="n"/>
      <c r="P575" s="66" t="n"/>
      <c r="Q575" s="66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66" t="n"/>
      <c r="C576" s="108" t="n"/>
      <c r="D576" s="68" t="n"/>
      <c r="E576" s="68" t="n"/>
      <c r="F576" s="68" t="n"/>
      <c r="G576" s="68" t="n"/>
      <c r="H576" s="69" t="n"/>
      <c r="I576" s="91" t="n"/>
      <c r="J576" s="93" t="n"/>
      <c r="K576" s="177" t="n"/>
      <c r="L576" s="174" t="n"/>
      <c r="M576" s="189" t="n"/>
      <c r="N576" s="72" t="n"/>
      <c r="O576" s="169" t="n"/>
      <c r="P576" s="66" t="n"/>
      <c r="Q576" s="66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66" t="n"/>
      <c r="C577" s="108" t="n"/>
      <c r="D577" s="68" t="n"/>
      <c r="E577" s="68" t="n"/>
      <c r="F577" s="68" t="n"/>
      <c r="G577" s="68" t="n"/>
      <c r="H577" s="69" t="n"/>
      <c r="I577" s="91" t="n"/>
      <c r="J577" s="93" t="n"/>
      <c r="K577" s="177" t="n"/>
      <c r="L577" s="174" t="n"/>
      <c r="M577" s="189" t="n"/>
      <c r="N577" s="72" t="n"/>
      <c r="O577" s="169" t="n"/>
      <c r="P577" s="66" t="n"/>
      <c r="Q577" s="66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66" t="n"/>
      <c r="C578" s="108" t="n"/>
      <c r="D578" s="68" t="n"/>
      <c r="E578" s="68" t="n"/>
      <c r="F578" s="68" t="n"/>
      <c r="G578" s="68" t="n"/>
      <c r="H578" s="69" t="n"/>
      <c r="I578" s="91" t="n"/>
      <c r="J578" s="93" t="n"/>
      <c r="K578" s="177" t="n"/>
      <c r="L578" s="174" t="n"/>
      <c r="M578" s="189" t="n"/>
      <c r="N578" s="72" t="n"/>
      <c r="O578" s="169" t="n"/>
      <c r="P578" s="66" t="n"/>
      <c r="Q578" s="66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66" t="n"/>
      <c r="C579" s="108" t="n"/>
      <c r="D579" s="68" t="n"/>
      <c r="E579" s="68" t="n"/>
      <c r="F579" s="68" t="n"/>
      <c r="G579" s="68" t="n"/>
      <c r="H579" s="69" t="n"/>
      <c r="I579" s="70" t="n"/>
      <c r="J579" s="79" t="n"/>
      <c r="K579" s="177" t="n"/>
      <c r="L579" s="174" t="n"/>
      <c r="M579" s="176" t="n"/>
      <c r="N579" s="72" t="n"/>
      <c r="O579" s="169" t="n"/>
      <c r="P579" s="66" t="n"/>
      <c r="Q579" s="66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66" t="n"/>
      <c r="C580" s="108" t="n"/>
      <c r="D580" s="68" t="n"/>
      <c r="E580" s="68" t="n"/>
      <c r="F580" s="68" t="n"/>
      <c r="G580" s="340" t="n"/>
      <c r="H580" s="340" t="n"/>
      <c r="I580" s="340" t="n"/>
      <c r="J580" s="340" t="n"/>
      <c r="K580" s="177" t="n"/>
      <c r="L580" s="174" t="n"/>
      <c r="M580" s="340" t="n"/>
      <c r="N580" s="72" t="n"/>
      <c r="O580" s="169" t="n"/>
      <c r="P580" s="66" t="n"/>
      <c r="Q580" s="66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66" t="n"/>
      <c r="C581" s="108" t="n"/>
      <c r="D581" s="68" t="n"/>
      <c r="E581" s="68" t="n"/>
      <c r="F581" s="68" t="n"/>
      <c r="G581" s="99" t="n"/>
      <c r="H581" s="100" t="n"/>
      <c r="I581" s="70" t="n"/>
      <c r="J581" s="79" t="n"/>
      <c r="K581" s="177" t="n"/>
      <c r="L581" s="70" t="n"/>
      <c r="M581" s="176" t="n"/>
      <c r="N581" s="72" t="n"/>
      <c r="O581" s="169" t="n"/>
      <c r="P581" s="66" t="n"/>
      <c r="Q581" s="66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66" t="n"/>
      <c r="C582" s="108" t="n"/>
      <c r="D582" s="68" t="n"/>
      <c r="E582" s="5" t="n"/>
      <c r="F582" s="68" t="n"/>
      <c r="G582" s="99" t="n"/>
      <c r="H582" s="100" t="n"/>
      <c r="I582" s="70" t="n"/>
      <c r="J582" s="79" t="n"/>
      <c r="K582" s="177" t="n"/>
      <c r="L582" s="70" t="n"/>
      <c r="M582" s="176" t="n"/>
      <c r="N582" s="72" t="n"/>
      <c r="O582" s="169" t="n"/>
      <c r="P582" s="66" t="n"/>
      <c r="Q582" s="66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66" t="n"/>
      <c r="C583" s="108" t="n"/>
      <c r="D583" s="68" t="n"/>
      <c r="E583" s="68" t="n"/>
      <c r="F583" s="68" t="n"/>
      <c r="G583" s="99" t="n"/>
      <c r="H583" s="100" t="n"/>
      <c r="I583" s="91" t="n"/>
      <c r="J583" s="93" t="n"/>
      <c r="K583" s="177" t="n"/>
      <c r="L583" s="174" t="n"/>
      <c r="M583" s="189" t="n"/>
      <c r="N583" s="72" t="n"/>
      <c r="O583" s="169" t="n"/>
      <c r="P583" s="66" t="n"/>
      <c r="Q583" s="66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66" t="n"/>
      <c r="C584" s="108" t="n"/>
      <c r="D584" s="68" t="n"/>
      <c r="E584" s="68" t="n"/>
      <c r="F584" s="68" t="n"/>
      <c r="G584" s="87" t="n"/>
      <c r="H584" s="69" t="n"/>
      <c r="I584" s="91" t="n"/>
      <c r="J584" s="93" t="n"/>
      <c r="K584" s="177" t="n"/>
      <c r="L584" s="174" t="n"/>
      <c r="M584" s="189" t="n"/>
      <c r="N584" s="72" t="n"/>
      <c r="O584" s="169" t="n"/>
      <c r="P584" s="66" t="n"/>
      <c r="Q584" s="66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66" t="n"/>
      <c r="C585" s="108" t="n"/>
      <c r="D585" s="68" t="n"/>
      <c r="E585" s="68" t="n"/>
      <c r="F585" s="68" t="n"/>
      <c r="G585" s="87" t="n"/>
      <c r="H585" s="69" t="n"/>
      <c r="I585" s="70" t="n"/>
      <c r="J585" s="79" t="n"/>
      <c r="K585" s="177" t="n"/>
      <c r="L585" s="174" t="n"/>
      <c r="M585" s="176" t="n"/>
      <c r="N585" s="72" t="n"/>
      <c r="O585" s="169" t="n"/>
      <c r="P585" s="66" t="n"/>
      <c r="Q585" s="66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66" t="n"/>
      <c r="C586" s="108" t="n"/>
      <c r="D586" s="68" t="n"/>
      <c r="E586" s="340" t="n"/>
      <c r="F586" s="68" t="n"/>
      <c r="G586" s="340" t="n"/>
      <c r="H586" s="340" t="n"/>
      <c r="I586" s="340" t="n"/>
      <c r="J586" s="340" t="n"/>
      <c r="K586" s="177" t="n"/>
      <c r="L586" s="174" t="n"/>
      <c r="M586" s="340" t="n"/>
      <c r="N586" s="72" t="n"/>
      <c r="O586" s="169" t="n"/>
      <c r="P586" s="66" t="n"/>
      <c r="Q586" s="66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72" t="n"/>
      <c r="C587" s="79" t="n"/>
      <c r="D587" s="87" t="n"/>
      <c r="E587" s="99" t="n"/>
      <c r="F587" s="87" t="n"/>
      <c r="G587" s="87" t="n"/>
      <c r="H587" s="69" t="n"/>
      <c r="I587" s="91" t="n"/>
      <c r="J587" s="93" t="n"/>
      <c r="K587" s="177" t="n"/>
      <c r="L587" s="174" t="n"/>
      <c r="M587" s="189" t="n"/>
      <c r="N587" s="72" t="n"/>
      <c r="O587" s="169" t="n"/>
      <c r="P587" s="66" t="n"/>
      <c r="Q587" s="66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66" t="n"/>
      <c r="C588" s="108" t="n"/>
      <c r="D588" s="68" t="n"/>
      <c r="E588" s="178" t="n"/>
      <c r="F588" s="68" t="n"/>
      <c r="G588" s="87" t="n"/>
      <c r="H588" s="69" t="n"/>
      <c r="I588" s="91" t="n"/>
      <c r="J588" s="93" t="n"/>
      <c r="K588" s="177" t="n"/>
      <c r="L588" s="174" t="n"/>
      <c r="M588" s="189" t="n"/>
      <c r="N588" s="72" t="n"/>
      <c r="O588" s="169" t="n"/>
      <c r="P588" s="66" t="n"/>
      <c r="Q588" s="66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66" t="n"/>
      <c r="C589" s="108" t="n"/>
      <c r="D589" s="68" t="n"/>
      <c r="E589" s="178" t="n"/>
      <c r="F589" s="68" t="n"/>
      <c r="G589" s="87" t="n"/>
      <c r="H589" s="69" t="n"/>
      <c r="I589" s="91" t="n"/>
      <c r="J589" s="93" t="n"/>
      <c r="K589" s="177" t="n"/>
      <c r="L589" s="174" t="n"/>
      <c r="M589" s="189" t="n"/>
      <c r="N589" s="72" t="n"/>
      <c r="O589" s="169" t="n"/>
      <c r="P589" s="66" t="n"/>
      <c r="Q589" s="66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66" t="n"/>
      <c r="C590" s="108" t="n"/>
      <c r="D590" s="68" t="n"/>
      <c r="E590" s="68" t="n"/>
      <c r="F590" s="68" t="n"/>
      <c r="G590" s="87" t="n"/>
      <c r="H590" s="69" t="n"/>
      <c r="I590" s="91" t="n"/>
      <c r="J590" s="93" t="n"/>
      <c r="K590" s="177" t="n"/>
      <c r="L590" s="174" t="n"/>
      <c r="M590" s="189" t="n"/>
      <c r="N590" s="72" t="n"/>
      <c r="O590" s="169" t="n"/>
      <c r="P590" s="66" t="n"/>
      <c r="Q590" s="66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66" t="n"/>
      <c r="C591" s="108" t="n"/>
      <c r="D591" s="68" t="n"/>
      <c r="E591" s="178" t="n"/>
      <c r="F591" s="68" t="n"/>
      <c r="G591" s="87" t="n"/>
      <c r="H591" s="69" t="n"/>
      <c r="I591" s="91" t="n"/>
      <c r="J591" s="93" t="n"/>
      <c r="K591" s="177" t="n"/>
      <c r="L591" s="174" t="n"/>
      <c r="M591" s="189" t="n"/>
      <c r="N591" s="72" t="n"/>
      <c r="O591" s="169" t="n"/>
      <c r="P591" s="66" t="n"/>
      <c r="Q591" s="66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66" t="n"/>
      <c r="C592" s="108" t="n"/>
      <c r="D592" s="68" t="n"/>
      <c r="E592" s="178" t="n"/>
      <c r="F592" s="68" t="n"/>
      <c r="G592" s="87" t="n"/>
      <c r="H592" s="69" t="n"/>
      <c r="I592" s="91" t="n"/>
      <c r="J592" s="93" t="n"/>
      <c r="K592" s="177" t="n"/>
      <c r="L592" s="174" t="n"/>
      <c r="M592" s="189" t="n"/>
      <c r="N592" s="72" t="n"/>
      <c r="O592" s="169" t="n"/>
      <c r="P592" s="66" t="n"/>
      <c r="Q592" s="66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66" t="n"/>
      <c r="C593" s="108" t="n"/>
      <c r="D593" s="68" t="n"/>
      <c r="E593" s="178" t="n"/>
      <c r="F593" s="68" t="n"/>
      <c r="G593" s="87" t="n"/>
      <c r="H593" s="69" t="n"/>
      <c r="I593" s="91" t="n"/>
      <c r="J593" s="93" t="n"/>
      <c r="K593" s="177" t="n"/>
      <c r="L593" s="174" t="n"/>
      <c r="M593" s="189" t="n"/>
      <c r="N593" s="72" t="n"/>
      <c r="O593" s="169" t="n"/>
      <c r="P593" s="66" t="n"/>
      <c r="Q593" s="66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66" t="n"/>
      <c r="C594" s="108" t="n"/>
      <c r="D594" s="68" t="n"/>
      <c r="E594" s="68" t="n"/>
      <c r="F594" s="180" t="n"/>
      <c r="G594" s="87" t="n"/>
      <c r="H594" s="69" t="n"/>
      <c r="I594" s="70" t="n"/>
      <c r="J594" s="79" t="n"/>
      <c r="K594" s="177" t="n"/>
      <c r="L594" s="70" t="n"/>
      <c r="M594" s="176" t="n"/>
      <c r="N594" s="72" t="n"/>
      <c r="O594" s="169" t="n"/>
      <c r="P594" s="66" t="n"/>
      <c r="Q594" s="66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66" t="n"/>
      <c r="C595" s="108" t="n"/>
      <c r="D595" s="68" t="n"/>
      <c r="E595" s="68" t="n"/>
      <c r="F595" s="68" t="n"/>
      <c r="G595" s="87" t="n"/>
      <c r="H595" s="69" t="n"/>
      <c r="I595" s="70" t="n"/>
      <c r="J595" s="79" t="n"/>
      <c r="K595" s="177" t="n"/>
      <c r="L595" s="70" t="n"/>
      <c r="M595" s="176" t="n"/>
      <c r="N595" s="72" t="n"/>
      <c r="O595" s="169" t="n"/>
      <c r="P595" s="66" t="n"/>
      <c r="Q595" s="66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66" t="n"/>
      <c r="C596" s="108" t="n"/>
      <c r="D596" s="68" t="n"/>
      <c r="E596" s="68" t="n"/>
      <c r="F596" s="178" t="n"/>
      <c r="G596" s="87" t="n"/>
      <c r="H596" s="69" t="n"/>
      <c r="I596" s="91" t="n"/>
      <c r="J596" s="93" t="n"/>
      <c r="K596" s="177" t="n"/>
      <c r="L596" s="174" t="n"/>
      <c r="M596" s="189" t="n"/>
      <c r="N596" s="72" t="n"/>
      <c r="O596" s="169" t="n"/>
      <c r="P596" s="66" t="n"/>
      <c r="Q596" s="66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66" t="n"/>
      <c r="C597" s="108" t="n"/>
      <c r="D597" s="68" t="n"/>
      <c r="E597" s="68" t="n"/>
      <c r="F597" s="178" t="n"/>
      <c r="G597" s="87" t="n"/>
      <c r="H597" s="69" t="n"/>
      <c r="I597" s="91" t="n"/>
      <c r="J597" s="93" t="n"/>
      <c r="K597" s="177" t="n"/>
      <c r="L597" s="174" t="n"/>
      <c r="M597" s="189" t="n"/>
      <c r="N597" s="72" t="n"/>
      <c r="O597" s="169" t="n"/>
      <c r="P597" s="66" t="n"/>
      <c r="Q597" s="66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66" t="n"/>
      <c r="C598" s="108" t="n"/>
      <c r="D598" s="68" t="n"/>
      <c r="E598" s="5" t="n"/>
      <c r="F598" s="178" t="n"/>
      <c r="G598" s="87" t="n"/>
      <c r="H598" s="69" t="n"/>
      <c r="I598" s="91" t="n"/>
      <c r="J598" s="93" t="n"/>
      <c r="K598" s="177" t="n"/>
      <c r="L598" s="174" t="n"/>
      <c r="M598" s="189" t="n"/>
      <c r="N598" s="72" t="n"/>
      <c r="O598" s="169" t="n"/>
      <c r="P598" s="66" t="n"/>
      <c r="Q598" s="66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66" t="n"/>
      <c r="C599" s="108" t="n"/>
      <c r="D599" s="68" t="n"/>
      <c r="E599" s="68" t="n"/>
      <c r="F599" s="178" t="n"/>
      <c r="G599" s="87" t="n"/>
      <c r="H599" s="69" t="n"/>
      <c r="I599" s="91" t="n"/>
      <c r="J599" s="93" t="n"/>
      <c r="K599" s="177" t="n"/>
      <c r="L599" s="174" t="n"/>
      <c r="M599" s="189" t="n"/>
      <c r="N599" s="72" t="n"/>
      <c r="O599" s="169" t="n"/>
      <c r="P599" s="66" t="n"/>
      <c r="Q599" s="66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66" t="n"/>
      <c r="C600" s="108" t="n"/>
      <c r="D600" s="68" t="n"/>
      <c r="E600" s="68" t="n"/>
      <c r="F600" s="68" t="n"/>
      <c r="G600" s="87" t="n"/>
      <c r="H600" s="69" t="n"/>
      <c r="I600" s="70" t="n"/>
      <c r="J600" s="79" t="n"/>
      <c r="K600" s="177" t="n"/>
      <c r="L600" s="174" t="n"/>
      <c r="M600" s="176" t="n"/>
      <c r="N600" s="72" t="n"/>
      <c r="O600" s="169" t="n"/>
      <c r="P600" s="66" t="n"/>
      <c r="Q600" s="66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66" t="n"/>
      <c r="C601" s="108" t="n"/>
      <c r="D601" s="68" t="n"/>
      <c r="E601" s="68" t="n"/>
      <c r="F601" s="340" t="n"/>
      <c r="G601" s="340" t="n"/>
      <c r="H601" s="340" t="n"/>
      <c r="I601" s="340" t="n"/>
      <c r="J601" s="340" t="n"/>
      <c r="K601" s="177" t="n"/>
      <c r="L601" s="174" t="n"/>
      <c r="M601" s="340" t="n"/>
      <c r="N601" s="72" t="n"/>
      <c r="O601" s="169" t="n"/>
      <c r="P601" s="66" t="n"/>
      <c r="Q601" s="66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66" t="n"/>
      <c r="C602" s="108" t="n"/>
      <c r="D602" s="68" t="n"/>
      <c r="E602" s="68" t="n"/>
      <c r="F602" s="178" t="n"/>
      <c r="G602" s="87" t="n"/>
      <c r="H602" s="69" t="n"/>
      <c r="I602" s="91" t="n"/>
      <c r="J602" s="93" t="n"/>
      <c r="K602" s="177" t="n"/>
      <c r="L602" s="174" t="n"/>
      <c r="M602" s="189" t="n"/>
      <c r="N602" s="72" t="n"/>
      <c r="O602" s="169" t="n"/>
      <c r="P602" s="66" t="n"/>
      <c r="Q602" s="66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66" t="n"/>
      <c r="C603" s="108" t="n"/>
      <c r="D603" s="68" t="n"/>
      <c r="E603" s="68" t="n"/>
      <c r="F603" s="178" t="n"/>
      <c r="G603" s="87" t="n"/>
      <c r="H603" s="69" t="n"/>
      <c r="I603" s="91" t="n"/>
      <c r="J603" s="93" t="n"/>
      <c r="K603" s="177" t="n"/>
      <c r="L603" s="174" t="n"/>
      <c r="M603" s="189" t="n"/>
      <c r="N603" s="72" t="n"/>
      <c r="O603" s="169" t="n"/>
      <c r="P603" s="66" t="n"/>
      <c r="Q603" s="66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66" t="n"/>
      <c r="C604" s="108" t="n"/>
      <c r="D604" s="68" t="n"/>
      <c r="E604" s="68" t="n"/>
      <c r="F604" s="68" t="n"/>
      <c r="G604" s="87" t="n"/>
      <c r="H604" s="69" t="n"/>
      <c r="I604" s="70" t="n"/>
      <c r="J604" s="79" t="n"/>
      <c r="K604" s="177" t="n"/>
      <c r="L604" s="174" t="n"/>
      <c r="M604" s="176" t="n"/>
      <c r="N604" s="72" t="n"/>
      <c r="O604" s="169" t="n"/>
      <c r="P604" s="66" t="n"/>
      <c r="Q604" s="66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66" t="n"/>
      <c r="C605" s="108" t="n"/>
      <c r="D605" s="68" t="n"/>
      <c r="E605" s="68" t="n"/>
      <c r="F605" s="340" t="n"/>
      <c r="G605" s="340" t="n"/>
      <c r="H605" s="340" t="n"/>
      <c r="I605" s="340" t="n"/>
      <c r="J605" s="340" t="n"/>
      <c r="K605" s="177" t="n"/>
      <c r="L605" s="174" t="n"/>
      <c r="M605" s="340" t="n"/>
      <c r="N605" s="72" t="n"/>
      <c r="O605" s="169" t="n"/>
      <c r="P605" s="66" t="n"/>
      <c r="Q605" s="66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66" t="n"/>
      <c r="C606" s="108" t="n"/>
      <c r="D606" s="68" t="n"/>
      <c r="E606" s="68" t="n"/>
      <c r="F606" s="178" t="n"/>
      <c r="G606" s="87" t="n"/>
      <c r="H606" s="69" t="n"/>
      <c r="I606" s="91" t="n"/>
      <c r="J606" s="93" t="n"/>
      <c r="K606" s="177" t="n"/>
      <c r="L606" s="174" t="n"/>
      <c r="M606" s="189" t="n"/>
      <c r="N606" s="72" t="n"/>
      <c r="O606" s="169" t="n"/>
      <c r="P606" s="66" t="n"/>
      <c r="Q606" s="66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66" t="n"/>
      <c r="C607" s="108" t="n"/>
      <c r="D607" s="68" t="n"/>
      <c r="E607" s="68" t="n"/>
      <c r="F607" s="178" t="n"/>
      <c r="G607" s="87" t="n"/>
      <c r="H607" s="69" t="n"/>
      <c r="I607" s="91" t="n"/>
      <c r="J607" s="93" t="n"/>
      <c r="K607" s="177" t="n"/>
      <c r="L607" s="174" t="n"/>
      <c r="M607" s="189" t="n"/>
      <c r="N607" s="72" t="n"/>
      <c r="O607" s="169" t="n"/>
      <c r="P607" s="66" t="n"/>
      <c r="Q607" s="66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66" t="n"/>
      <c r="C608" s="108" t="n"/>
      <c r="D608" s="68" t="n"/>
      <c r="E608" s="68" t="n"/>
      <c r="F608" s="178" t="n"/>
      <c r="G608" s="87" t="n"/>
      <c r="H608" s="69" t="n"/>
      <c r="I608" s="91" t="n"/>
      <c r="J608" s="93" t="n"/>
      <c r="K608" s="177" t="n"/>
      <c r="L608" s="174" t="n"/>
      <c r="M608" s="298" t="n"/>
      <c r="N608" s="72" t="n"/>
      <c r="O608" s="169" t="n"/>
      <c r="P608" s="66" t="n"/>
      <c r="Q608" s="66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66" t="n"/>
      <c r="C609" s="108" t="n"/>
      <c r="D609" s="68" t="n"/>
      <c r="E609" s="68" t="n"/>
      <c r="F609" s="178" t="n"/>
      <c r="G609" s="87" t="n"/>
      <c r="H609" s="69" t="n"/>
      <c r="I609" s="91" t="n"/>
      <c r="J609" s="93" t="n"/>
      <c r="K609" s="177" t="n"/>
      <c r="L609" s="174" t="n"/>
      <c r="M609" s="299" t="n"/>
      <c r="N609" s="72" t="n"/>
      <c r="O609" s="169" t="n"/>
      <c r="P609" s="66" t="n"/>
      <c r="Q609" s="66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66" t="n"/>
      <c r="C610" s="108" t="n"/>
      <c r="D610" s="68" t="n"/>
      <c r="E610" s="68" t="n"/>
      <c r="F610" s="178" t="n"/>
      <c r="G610" s="87" t="n"/>
      <c r="H610" s="69" t="n"/>
      <c r="I610" s="91" t="n"/>
      <c r="J610" s="93" t="n"/>
      <c r="K610" s="177" t="n"/>
      <c r="L610" s="174" t="n"/>
      <c r="M610" s="189" t="n"/>
      <c r="N610" s="72" t="n"/>
      <c r="O610" s="169" t="n"/>
      <c r="P610" s="66" t="n"/>
      <c r="Q610" s="66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66" t="n"/>
      <c r="C611" s="108" t="n"/>
      <c r="D611" s="68" t="n"/>
      <c r="E611" s="68" t="n"/>
      <c r="F611" s="178" t="n"/>
      <c r="G611" s="87" t="n"/>
      <c r="H611" s="69" t="n"/>
      <c r="I611" s="91" t="n"/>
      <c r="J611" s="93" t="n"/>
      <c r="K611" s="177" t="n"/>
      <c r="L611" s="174" t="n"/>
      <c r="M611" s="189" t="n"/>
      <c r="N611" s="72" t="n"/>
      <c r="O611" s="169" t="n"/>
      <c r="P611" s="66" t="n"/>
      <c r="Q611" s="66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66" t="n"/>
      <c r="C612" s="108" t="n"/>
      <c r="D612" s="68" t="n"/>
      <c r="E612" s="68" t="n"/>
      <c r="F612" s="178" t="n"/>
      <c r="G612" s="87" t="n"/>
      <c r="H612" s="69" t="n"/>
      <c r="I612" s="70" t="n"/>
      <c r="J612" s="79" t="n"/>
      <c r="K612" s="177" t="n"/>
      <c r="L612" s="174" t="n"/>
      <c r="M612" s="176" t="n"/>
      <c r="N612" s="72" t="n"/>
      <c r="O612" s="169" t="n"/>
      <c r="P612" s="66" t="n"/>
      <c r="Q612" s="66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66" t="n"/>
      <c r="C613" s="108" t="n"/>
      <c r="D613" s="68" t="n"/>
      <c r="E613" s="68" t="n"/>
      <c r="F613" s="178" t="n"/>
      <c r="G613" s="340" t="n"/>
      <c r="H613" s="340" t="n"/>
      <c r="I613" s="340" t="n"/>
      <c r="J613" s="340" t="n"/>
      <c r="K613" s="177" t="n"/>
      <c r="L613" s="174" t="n"/>
      <c r="M613" s="340" t="n"/>
      <c r="N613" s="72" t="n"/>
      <c r="O613" s="169" t="n"/>
      <c r="P613" s="66" t="n"/>
      <c r="Q613" s="66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66" t="n"/>
      <c r="C614" s="108" t="n"/>
      <c r="D614" s="68" t="n"/>
      <c r="E614" s="68" t="n"/>
      <c r="F614" s="178" t="n"/>
      <c r="G614" s="87" t="n"/>
      <c r="H614" s="69" t="n"/>
      <c r="I614" s="70" t="n"/>
      <c r="J614" s="79" t="n"/>
      <c r="K614" s="177" t="n"/>
      <c r="L614" s="174" t="n"/>
      <c r="M614" s="176" t="n"/>
      <c r="N614" s="72" t="n"/>
      <c r="O614" s="169" t="n"/>
      <c r="P614" s="66" t="n"/>
      <c r="Q614" s="66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66" t="n"/>
      <c r="C615" s="108" t="n"/>
      <c r="D615" s="68" t="n"/>
      <c r="E615" s="68" t="n"/>
      <c r="F615" s="178" t="n"/>
      <c r="G615" s="340" t="n"/>
      <c r="H615" s="340" t="n"/>
      <c r="I615" s="340" t="n"/>
      <c r="J615" s="340" t="n"/>
      <c r="K615" s="177" t="n"/>
      <c r="L615" s="174" t="n"/>
      <c r="M615" s="340" t="n"/>
      <c r="N615" s="72" t="n"/>
      <c r="O615" s="169" t="n"/>
      <c r="P615" s="66" t="n"/>
      <c r="Q615" s="66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66" t="n"/>
      <c r="C616" s="108" t="n"/>
      <c r="D616" s="68" t="n"/>
      <c r="E616" s="68" t="n"/>
      <c r="F616" s="178" t="n"/>
      <c r="G616" s="87" t="n"/>
      <c r="H616" s="69" t="n"/>
      <c r="I616" s="91" t="n"/>
      <c r="J616" s="93" t="n"/>
      <c r="K616" s="177" t="n"/>
      <c r="L616" s="174" t="n"/>
      <c r="M616" s="189" t="n"/>
      <c r="N616" s="72" t="n"/>
      <c r="O616" s="169" t="n"/>
      <c r="P616" s="66" t="n"/>
      <c r="Q616" s="66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66" t="n"/>
      <c r="C617" s="108" t="n"/>
      <c r="D617" s="68" t="n"/>
      <c r="E617" s="68" t="n"/>
      <c r="F617" s="178" t="n"/>
      <c r="G617" s="87" t="n"/>
      <c r="H617" s="69" t="n"/>
      <c r="I617" s="91" t="n"/>
      <c r="J617" s="93" t="n"/>
      <c r="K617" s="177" t="n"/>
      <c r="L617" s="174" t="n"/>
      <c r="M617" s="189" t="n"/>
      <c r="N617" s="72" t="n"/>
      <c r="O617" s="169" t="n"/>
      <c r="P617" s="66" t="n"/>
      <c r="Q617" s="66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66" t="n"/>
      <c r="C618" s="108" t="n"/>
      <c r="D618" s="68" t="n"/>
      <c r="E618" s="68" t="n"/>
      <c r="F618" s="178" t="n"/>
      <c r="G618" s="87" t="n"/>
      <c r="H618" s="69" t="n"/>
      <c r="I618" s="91" t="n"/>
      <c r="J618" s="93" t="n"/>
      <c r="K618" s="177" t="n"/>
      <c r="L618" s="174" t="n"/>
      <c r="M618" s="189" t="n"/>
      <c r="N618" s="72" t="n"/>
      <c r="O618" s="169" t="n"/>
      <c r="P618" s="66" t="n"/>
      <c r="Q618" s="66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66" t="n"/>
      <c r="C619" s="108" t="n"/>
      <c r="D619" s="68" t="n"/>
      <c r="E619" s="68" t="n"/>
      <c r="F619" s="178" t="n"/>
      <c r="G619" s="87" t="n"/>
      <c r="H619" s="69" t="n"/>
      <c r="I619" s="91" t="n"/>
      <c r="J619" s="93" t="n"/>
      <c r="K619" s="177" t="n"/>
      <c r="L619" s="174" t="n"/>
      <c r="M619" s="189" t="n"/>
      <c r="N619" s="72" t="n"/>
      <c r="O619" s="169" t="n"/>
      <c r="P619" s="66" t="n"/>
      <c r="Q619" s="66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66" t="n"/>
      <c r="C620" s="108" t="n"/>
      <c r="D620" s="68" t="n"/>
      <c r="E620" s="68" t="n"/>
      <c r="F620" s="178" t="n"/>
      <c r="G620" s="87" t="n"/>
      <c r="H620" s="69" t="n"/>
      <c r="I620" s="70" t="n"/>
      <c r="J620" s="79" t="n"/>
      <c r="K620" s="177" t="n"/>
      <c r="L620" s="174" t="n"/>
      <c r="M620" s="176" t="n"/>
      <c r="N620" s="72" t="n"/>
      <c r="O620" s="169" t="n"/>
      <c r="P620" s="66" t="n"/>
      <c r="Q620" s="66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66" t="n"/>
      <c r="C621" s="108" t="n"/>
      <c r="D621" s="68" t="n"/>
      <c r="E621" s="68" t="n"/>
      <c r="F621" s="178" t="n"/>
      <c r="G621" s="340" t="n"/>
      <c r="H621" s="340" t="n"/>
      <c r="I621" s="340" t="n"/>
      <c r="J621" s="340" t="n"/>
      <c r="K621" s="177" t="n"/>
      <c r="L621" s="174" t="n"/>
      <c r="M621" s="340" t="n"/>
      <c r="N621" s="72" t="n"/>
      <c r="O621" s="169" t="n"/>
      <c r="P621" s="66" t="n"/>
      <c r="Q621" s="66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66" t="n"/>
      <c r="C622" s="108" t="n"/>
      <c r="D622" s="68" t="n"/>
      <c r="E622" s="68" t="n"/>
      <c r="F622" s="178" t="n"/>
      <c r="G622" s="87" t="n"/>
      <c r="H622" s="69" t="n"/>
      <c r="I622" s="91" t="n"/>
      <c r="J622" s="93" t="n"/>
      <c r="K622" s="177" t="n"/>
      <c r="L622" s="174" t="n"/>
      <c r="M622" s="189" t="n"/>
      <c r="N622" s="72" t="n"/>
      <c r="O622" s="169" t="n"/>
      <c r="P622" s="66" t="n"/>
      <c r="Q622" s="66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66" t="n"/>
      <c r="C623" s="108" t="n"/>
      <c r="D623" s="68" t="n"/>
      <c r="E623" s="68" t="n"/>
      <c r="F623" s="178" t="n"/>
      <c r="G623" s="87" t="n"/>
      <c r="H623" s="69" t="n"/>
      <c r="I623" s="91" t="n"/>
      <c r="J623" s="93" t="n"/>
      <c r="K623" s="177" t="n"/>
      <c r="L623" s="174" t="n"/>
      <c r="M623" s="189" t="n"/>
      <c r="N623" s="72" t="n"/>
      <c r="O623" s="169" t="n"/>
      <c r="P623" s="66" t="n"/>
      <c r="Q623" s="66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66" t="n"/>
      <c r="C624" s="108" t="n"/>
      <c r="D624" s="68" t="n"/>
      <c r="E624" s="68" t="n"/>
      <c r="F624" s="178" t="n"/>
      <c r="G624" s="87" t="n"/>
      <c r="H624" s="69" t="n"/>
      <c r="I624" s="91" t="n"/>
      <c r="J624" s="93" t="n"/>
      <c r="K624" s="177" t="n"/>
      <c r="L624" s="174" t="n"/>
      <c r="M624" s="189" t="n"/>
      <c r="N624" s="72" t="n"/>
      <c r="O624" s="169" t="n"/>
      <c r="P624" s="66" t="n"/>
      <c r="Q624" s="66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66" t="n"/>
      <c r="C625" s="108" t="n"/>
      <c r="D625" s="68" t="n"/>
      <c r="E625" s="68" t="n"/>
      <c r="F625" s="178" t="n"/>
      <c r="G625" s="87" t="n"/>
      <c r="H625" s="69" t="n"/>
      <c r="I625" s="91" t="n"/>
      <c r="J625" s="93" t="n"/>
      <c r="K625" s="177" t="n"/>
      <c r="L625" s="174" t="n"/>
      <c r="M625" s="189" t="n"/>
      <c r="N625" s="72" t="n"/>
      <c r="O625" s="169" t="n"/>
      <c r="P625" s="66" t="n"/>
      <c r="Q625" s="66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66" t="n"/>
      <c r="C626" s="108" t="n"/>
      <c r="D626" s="68" t="n"/>
      <c r="E626" s="68" t="n"/>
      <c r="F626" s="68" t="n"/>
      <c r="G626" s="87" t="n"/>
      <c r="H626" s="69" t="n"/>
      <c r="I626" s="70" t="n"/>
      <c r="J626" s="79" t="n"/>
      <c r="K626" s="177" t="n"/>
      <c r="L626" s="174" t="n"/>
      <c r="M626" s="176" t="n"/>
      <c r="N626" s="72" t="n"/>
      <c r="O626" s="169" t="n"/>
      <c r="P626" s="66" t="n"/>
      <c r="Q626" s="66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66" t="n"/>
      <c r="C627" s="108" t="n"/>
      <c r="D627" s="68" t="n"/>
      <c r="E627" s="68" t="n"/>
      <c r="F627" s="340" t="n"/>
      <c r="G627" s="340" t="n"/>
      <c r="H627" s="340" t="n"/>
      <c r="I627" s="340" t="n"/>
      <c r="J627" s="340" t="n"/>
      <c r="K627" s="177" t="n"/>
      <c r="L627" s="174" t="n"/>
      <c r="M627" s="340" t="n"/>
      <c r="N627" s="72" t="n"/>
      <c r="O627" s="169" t="n"/>
      <c r="P627" s="66" t="n"/>
      <c r="Q627" s="66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66" t="n"/>
      <c r="C628" s="108" t="n"/>
      <c r="D628" s="68" t="n"/>
      <c r="E628" s="5" t="n"/>
      <c r="F628" s="178" t="n"/>
      <c r="G628" s="99" t="n"/>
      <c r="H628" s="100" t="n"/>
      <c r="I628" s="91" t="n"/>
      <c r="J628" s="93" t="n"/>
      <c r="K628" s="177" t="n"/>
      <c r="L628" s="174" t="n"/>
      <c r="M628" s="189" t="n"/>
      <c r="N628" s="72" t="n"/>
      <c r="O628" s="169" t="n"/>
      <c r="P628" s="66" t="n"/>
      <c r="Q628" s="66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66" t="n"/>
      <c r="C629" s="108" t="n"/>
      <c r="D629" s="68" t="n"/>
      <c r="E629" s="68" t="n"/>
      <c r="F629" s="178" t="n"/>
      <c r="G629" s="87" t="n"/>
      <c r="H629" s="69" t="n"/>
      <c r="I629" s="91" t="n"/>
      <c r="J629" s="93" t="n"/>
      <c r="K629" s="177" t="n"/>
      <c r="L629" s="174" t="n"/>
      <c r="M629" s="189" t="n"/>
      <c r="N629" s="72" t="n"/>
      <c r="O629" s="169" t="n"/>
      <c r="P629" s="66" t="n"/>
      <c r="Q629" s="66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66" t="n"/>
      <c r="C630" s="108" t="n"/>
      <c r="D630" s="68" t="n"/>
      <c r="E630" s="68" t="n"/>
      <c r="F630" s="178" t="n"/>
      <c r="G630" s="87" t="n"/>
      <c r="H630" s="69" t="n"/>
      <c r="I630" s="91" t="n"/>
      <c r="J630" s="93" t="n"/>
      <c r="K630" s="177" t="n"/>
      <c r="L630" s="174" t="n"/>
      <c r="M630" s="189" t="n"/>
      <c r="N630" s="72" t="n"/>
      <c r="O630" s="169" t="n"/>
      <c r="P630" s="66" t="n"/>
      <c r="Q630" s="66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66" t="n"/>
      <c r="C631" s="108" t="n"/>
      <c r="D631" s="68" t="n"/>
      <c r="E631" s="68" t="n"/>
      <c r="F631" s="178" t="n"/>
      <c r="G631" s="87" t="n"/>
      <c r="H631" s="69" t="n"/>
      <c r="I631" s="91" t="n"/>
      <c r="J631" s="93" t="n"/>
      <c r="K631" s="177" t="n"/>
      <c r="L631" s="174" t="n"/>
      <c r="M631" s="189" t="n"/>
      <c r="N631" s="72" t="n"/>
      <c r="O631" s="169" t="n"/>
      <c r="P631" s="66" t="n"/>
      <c r="Q631" s="66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66" t="n"/>
      <c r="C632" s="108" t="n"/>
      <c r="D632" s="68" t="n"/>
      <c r="E632" s="68" t="n"/>
      <c r="F632" s="178" t="n"/>
      <c r="G632" s="87" t="n"/>
      <c r="H632" s="69" t="n"/>
      <c r="I632" s="91" t="n"/>
      <c r="J632" s="93" t="n"/>
      <c r="K632" s="177" t="n"/>
      <c r="L632" s="174" t="n"/>
      <c r="M632" s="189" t="n"/>
      <c r="N632" s="72" t="n"/>
      <c r="O632" s="169" t="n"/>
      <c r="P632" s="66" t="n"/>
      <c r="Q632" s="66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66" t="n"/>
      <c r="C633" s="108" t="n"/>
      <c r="D633" s="68" t="n"/>
      <c r="E633" s="68" t="n"/>
      <c r="F633" s="178" t="n"/>
      <c r="G633" s="87" t="n"/>
      <c r="H633" s="69" t="n"/>
      <c r="I633" s="91" t="n"/>
      <c r="J633" s="93" t="n"/>
      <c r="K633" s="177" t="n"/>
      <c r="L633" s="174" t="n"/>
      <c r="M633" s="189" t="n"/>
      <c r="N633" s="72" t="n"/>
      <c r="O633" s="169" t="n"/>
      <c r="P633" s="66" t="n"/>
      <c r="Q633" s="66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66" t="n"/>
      <c r="C634" s="108" t="n"/>
      <c r="D634" s="68" t="n"/>
      <c r="E634" s="68" t="n"/>
      <c r="F634" s="178" t="n"/>
      <c r="G634" s="99" t="n"/>
      <c r="H634" s="100" t="n"/>
      <c r="I634" s="91" t="n"/>
      <c r="J634" s="93" t="n"/>
      <c r="K634" s="177" t="n"/>
      <c r="L634" s="174" t="n"/>
      <c r="M634" s="189" t="n"/>
      <c r="N634" s="72" t="n"/>
      <c r="O634" s="169" t="n"/>
      <c r="P634" s="66" t="n"/>
      <c r="Q634" s="66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66" t="n"/>
      <c r="C635" s="108" t="n"/>
      <c r="D635" s="68" t="n"/>
      <c r="E635" s="68" t="n"/>
      <c r="F635" s="178" t="n"/>
      <c r="G635" s="99" t="n"/>
      <c r="H635" s="100" t="n"/>
      <c r="I635" s="91" t="n"/>
      <c r="J635" s="93" t="n"/>
      <c r="K635" s="177" t="n"/>
      <c r="L635" s="174" t="n"/>
      <c r="M635" s="189" t="n"/>
      <c r="N635" s="72" t="n"/>
      <c r="O635" s="169" t="n"/>
      <c r="P635" s="66" t="n"/>
      <c r="Q635" s="66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66" t="n"/>
      <c r="C636" s="108" t="n"/>
      <c r="D636" s="68" t="n"/>
      <c r="E636" s="68" t="n"/>
      <c r="F636" s="178" t="n"/>
      <c r="G636" s="99" t="n"/>
      <c r="H636" s="100" t="n"/>
      <c r="I636" s="91" t="n"/>
      <c r="J636" s="93" t="n"/>
      <c r="K636" s="177" t="n"/>
      <c r="L636" s="174" t="n"/>
      <c r="M636" s="189" t="n"/>
      <c r="N636" s="66" t="n"/>
      <c r="O636" s="169" t="n"/>
      <c r="P636" s="66" t="n"/>
      <c r="Q636" s="66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66" t="n"/>
      <c r="C637" s="108" t="n"/>
      <c r="D637" s="68" t="n"/>
      <c r="E637" s="68" t="n"/>
      <c r="F637" s="178" t="n"/>
      <c r="G637" s="99" t="n"/>
      <c r="H637" s="100" t="n"/>
      <c r="I637" s="91" t="n"/>
      <c r="J637" s="93" t="n"/>
      <c r="K637" s="177" t="n"/>
      <c r="L637" s="174" t="n"/>
      <c r="M637" s="189" t="n"/>
      <c r="N637" s="66" t="n"/>
      <c r="O637" s="169" t="n"/>
      <c r="P637" s="66" t="n"/>
      <c r="Q637" s="66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66" t="n"/>
      <c r="C638" s="108" t="n"/>
      <c r="D638" s="68" t="n"/>
      <c r="E638" s="68" t="n"/>
      <c r="F638" s="178" t="n"/>
      <c r="G638" s="87" t="n"/>
      <c r="H638" s="69" t="n"/>
      <c r="I638" s="70" t="n"/>
      <c r="J638" s="79" t="n"/>
      <c r="K638" s="177" t="n"/>
      <c r="L638" s="174" t="n"/>
      <c r="M638" s="176" t="n"/>
      <c r="N638" s="66" t="n"/>
      <c r="O638" s="169" t="n"/>
      <c r="P638" s="66" t="n"/>
      <c r="Q638" s="66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66" t="n"/>
      <c r="C639" s="108" t="n"/>
      <c r="D639" s="68" t="n"/>
      <c r="E639" s="68" t="n"/>
      <c r="F639" s="178" t="n"/>
      <c r="G639" s="340" t="n"/>
      <c r="H639" s="340" t="n"/>
      <c r="I639" s="340" t="n"/>
      <c r="J639" s="340" t="n"/>
      <c r="K639" s="177" t="n"/>
      <c r="L639" s="174" t="n"/>
      <c r="M639" s="340" t="n"/>
      <c r="N639" s="66" t="n"/>
      <c r="O639" s="169" t="n"/>
      <c r="P639" s="66" t="n"/>
      <c r="Q639" s="66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66" t="n"/>
      <c r="C640" s="108" t="n"/>
      <c r="D640" s="68" t="n"/>
      <c r="E640" s="68" t="n"/>
      <c r="F640" s="178" t="n"/>
      <c r="G640" s="99" t="n"/>
      <c r="H640" s="100" t="n"/>
      <c r="I640" s="91" t="n"/>
      <c r="J640" s="93" t="n"/>
      <c r="K640" s="177" t="n"/>
      <c r="L640" s="174" t="n"/>
      <c r="M640" s="189" t="n"/>
      <c r="N640" s="66" t="n"/>
      <c r="O640" s="169" t="n"/>
      <c r="P640" s="66" t="n"/>
      <c r="Q640" s="66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66" t="n"/>
      <c r="C641" s="108" t="n"/>
      <c r="D641" s="68" t="n"/>
      <c r="E641" s="68" t="n"/>
      <c r="F641" s="178" t="n"/>
      <c r="G641" s="99" t="n"/>
      <c r="H641" s="100" t="n"/>
      <c r="I641" s="91" t="n"/>
      <c r="J641" s="93" t="n"/>
      <c r="K641" s="177" t="n"/>
      <c r="L641" s="174" t="n"/>
      <c r="M641" s="189" t="n"/>
      <c r="N641" s="66" t="n"/>
      <c r="O641" s="169" t="n"/>
      <c r="P641" s="66" t="n"/>
      <c r="Q641" s="66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66" t="n"/>
      <c r="C642" s="108" t="n"/>
      <c r="D642" s="68" t="n"/>
      <c r="E642" s="68" t="n"/>
      <c r="F642" s="178" t="n"/>
      <c r="G642" s="99" t="n"/>
      <c r="H642" s="100" t="n"/>
      <c r="I642" s="91" t="n"/>
      <c r="J642" s="93" t="n"/>
      <c r="K642" s="177" t="n"/>
      <c r="L642" s="174" t="n"/>
      <c r="M642" s="189" t="n"/>
      <c r="N642" s="66" t="n"/>
      <c r="O642" s="169" t="n"/>
      <c r="P642" s="66" t="n"/>
      <c r="Q642" s="66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66" t="n"/>
      <c r="C643" s="108" t="n"/>
      <c r="D643" s="68" t="n"/>
      <c r="E643" s="68" t="n"/>
      <c r="F643" s="178" t="n"/>
      <c r="G643" s="99" t="n"/>
      <c r="H643" s="100" t="n"/>
      <c r="I643" s="91" t="n"/>
      <c r="J643" s="93" t="n"/>
      <c r="K643" s="177" t="n"/>
      <c r="L643" s="174" t="n"/>
      <c r="M643" s="189" t="n"/>
      <c r="N643" s="66" t="n"/>
      <c r="O643" s="169" t="n"/>
      <c r="P643" s="66" t="n"/>
      <c r="Q643" s="66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66" t="n"/>
      <c r="C644" s="108" t="n"/>
      <c r="D644" s="68" t="n"/>
      <c r="E644" s="68" t="n"/>
      <c r="F644" s="68" t="n"/>
      <c r="G644" s="87" t="n"/>
      <c r="H644" s="69" t="n"/>
      <c r="I644" s="70" t="n"/>
      <c r="J644" s="79" t="n"/>
      <c r="K644" s="177" t="n"/>
      <c r="L644" s="174" t="n"/>
      <c r="M644" s="176" t="n"/>
      <c r="N644" s="66" t="n"/>
      <c r="O644" s="169" t="n"/>
      <c r="P644" s="66" t="n"/>
      <c r="Q644" s="66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66" t="n"/>
      <c r="C645" s="108" t="n"/>
      <c r="D645" s="68" t="n"/>
      <c r="E645" s="68" t="n"/>
      <c r="F645" s="343" t="n"/>
      <c r="G645" s="343" t="n"/>
      <c r="H645" s="343" t="n"/>
      <c r="I645" s="343" t="n"/>
      <c r="J645" s="343" t="n"/>
      <c r="K645" s="177" t="n"/>
      <c r="L645" s="174" t="n"/>
      <c r="M645" s="343" t="n"/>
      <c r="N645" s="66" t="n"/>
      <c r="O645" s="169" t="n"/>
      <c r="P645" s="66" t="n"/>
      <c r="Q645" s="66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66" t="n"/>
      <c r="C646" s="108" t="n"/>
      <c r="D646" s="68" t="n"/>
      <c r="E646" s="68" t="n"/>
      <c r="F646" s="340" t="n"/>
      <c r="G646" s="340" t="n"/>
      <c r="H646" s="340" t="n"/>
      <c r="I646" s="340" t="n"/>
      <c r="J646" s="340" t="n"/>
      <c r="K646" s="177" t="n"/>
      <c r="L646" s="174" t="n"/>
      <c r="M646" s="340" t="n"/>
      <c r="N646" s="66" t="n"/>
      <c r="O646" s="169" t="n"/>
      <c r="P646" s="66" t="n"/>
      <c r="Q646" s="66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66" t="n"/>
      <c r="C647" s="108" t="n"/>
      <c r="D647" s="68" t="n"/>
      <c r="E647" s="68" t="n"/>
      <c r="F647" s="178" t="n"/>
      <c r="G647" s="99" t="n"/>
      <c r="H647" s="100" t="n"/>
      <c r="I647" s="91" t="n"/>
      <c r="J647" s="93" t="n"/>
      <c r="K647" s="177" t="n"/>
      <c r="L647" s="174" t="n"/>
      <c r="M647" s="189" t="n"/>
      <c r="N647" s="66" t="n"/>
      <c r="O647" s="169" t="n"/>
      <c r="P647" s="66" t="n"/>
      <c r="Q647" s="66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66" t="n"/>
      <c r="C648" s="108" t="n"/>
      <c r="D648" s="68" t="n"/>
      <c r="E648" s="68" t="n"/>
      <c r="F648" s="178" t="n"/>
      <c r="G648" s="99" t="n"/>
      <c r="H648" s="100" t="n"/>
      <c r="I648" s="91" t="n"/>
      <c r="J648" s="93" t="n"/>
      <c r="K648" s="177" t="n"/>
      <c r="L648" s="174" t="n"/>
      <c r="M648" s="189" t="n"/>
      <c r="N648" s="66" t="n"/>
      <c r="O648" s="169" t="n"/>
      <c r="P648" s="66" t="n"/>
      <c r="Q648" s="66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66" t="n"/>
      <c r="C649" s="108" t="n"/>
      <c r="D649" s="68" t="n"/>
      <c r="E649" s="68" t="n"/>
      <c r="F649" s="178" t="n"/>
      <c r="G649" s="99" t="n"/>
      <c r="H649" s="100" t="n"/>
      <c r="I649" s="91" t="n"/>
      <c r="J649" s="93" t="n"/>
      <c r="K649" s="177" t="n"/>
      <c r="L649" s="174" t="n"/>
      <c r="M649" s="189" t="n"/>
      <c r="N649" s="66" t="n"/>
      <c r="O649" s="169" t="n"/>
      <c r="P649" s="66" t="n"/>
      <c r="Q649" s="66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66" t="n"/>
      <c r="C650" s="108" t="n"/>
      <c r="D650" s="68" t="n"/>
      <c r="E650" s="68" t="n"/>
      <c r="F650" s="178" t="n"/>
      <c r="G650" s="99" t="n"/>
      <c r="H650" s="100" t="n"/>
      <c r="I650" s="91" t="n"/>
      <c r="J650" s="93" t="n"/>
      <c r="K650" s="177" t="n"/>
      <c r="L650" s="174" t="n"/>
      <c r="M650" s="189" t="n"/>
      <c r="N650" s="66" t="n"/>
      <c r="O650" s="169" t="n"/>
      <c r="P650" s="66" t="n"/>
      <c r="Q650" s="66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66" t="n"/>
      <c r="C651" s="108" t="n"/>
      <c r="D651" s="68" t="n"/>
      <c r="E651" s="68" t="n"/>
      <c r="F651" s="178" t="n"/>
      <c r="G651" s="99" t="n"/>
      <c r="H651" s="100" t="n"/>
      <c r="I651" s="91" t="n"/>
      <c r="J651" s="93" t="n"/>
      <c r="K651" s="177" t="n"/>
      <c r="L651" s="174" t="n"/>
      <c r="M651" s="189" t="n"/>
      <c r="N651" s="66" t="n"/>
      <c r="O651" s="169" t="n"/>
      <c r="P651" s="66" t="n"/>
      <c r="Q651" s="66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66" t="n"/>
      <c r="C652" s="108" t="n"/>
      <c r="D652" s="68" t="n"/>
      <c r="E652" s="68" t="n"/>
      <c r="F652" s="178" t="n"/>
      <c r="G652" s="99" t="n"/>
      <c r="H652" s="100" t="n"/>
      <c r="I652" s="91" t="n"/>
      <c r="J652" s="93" t="n"/>
      <c r="K652" s="177" t="n"/>
      <c r="L652" s="174" t="n"/>
      <c r="M652" s="189" t="n"/>
      <c r="N652" s="66" t="n"/>
      <c r="O652" s="169" t="n"/>
      <c r="P652" s="66" t="n"/>
      <c r="Q652" s="66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66" t="n"/>
      <c r="C653" s="108" t="n"/>
      <c r="D653" s="68" t="n"/>
      <c r="E653" s="68" t="n"/>
      <c r="F653" s="178" t="n"/>
      <c r="G653" s="99" t="n"/>
      <c r="H653" s="100" t="n"/>
      <c r="I653" s="91" t="n"/>
      <c r="J653" s="93" t="n"/>
      <c r="K653" s="177" t="n"/>
      <c r="L653" s="174" t="n"/>
      <c r="M653" s="189" t="n"/>
      <c r="N653" s="66" t="n"/>
      <c r="O653" s="169" t="n"/>
      <c r="P653" s="66" t="n"/>
      <c r="Q653" s="66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66" t="n"/>
      <c r="C654" s="108" t="n"/>
      <c r="D654" s="68" t="n"/>
      <c r="E654" s="68" t="n"/>
      <c r="F654" s="178" t="n"/>
      <c r="G654" s="99" t="n"/>
      <c r="H654" s="100" t="n"/>
      <c r="I654" s="91" t="n"/>
      <c r="J654" s="93" t="n"/>
      <c r="K654" s="177" t="n"/>
      <c r="L654" s="174" t="n"/>
      <c r="M654" s="189" t="n"/>
      <c r="N654" s="66" t="n"/>
      <c r="O654" s="169" t="n"/>
      <c r="P654" s="66" t="n"/>
      <c r="Q654" s="66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66" t="n"/>
      <c r="C655" s="108" t="n"/>
      <c r="D655" s="68" t="n"/>
      <c r="E655" s="68" t="n"/>
      <c r="F655" s="178" t="n"/>
      <c r="G655" s="99" t="n"/>
      <c r="H655" s="100" t="n"/>
      <c r="I655" s="91" t="n"/>
      <c r="J655" s="93" t="n"/>
      <c r="K655" s="177" t="n"/>
      <c r="L655" s="174" t="n"/>
      <c r="M655" s="176" t="n"/>
      <c r="N655" s="66" t="n"/>
      <c r="O655" s="169" t="n"/>
      <c r="P655" s="66" t="n"/>
      <c r="Q655" s="66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66" t="n"/>
      <c r="C656" s="108" t="n"/>
      <c r="D656" s="68" t="n"/>
      <c r="E656" s="5" t="n"/>
      <c r="F656" s="178" t="n"/>
      <c r="G656" s="99" t="n"/>
      <c r="H656" s="100" t="n"/>
      <c r="I656" s="91" t="n"/>
      <c r="J656" s="93" t="n"/>
      <c r="K656" s="177" t="n"/>
      <c r="L656" s="174" t="n"/>
      <c r="M656" s="236" t="n"/>
      <c r="N656" s="66" t="n"/>
      <c r="O656" s="169" t="n"/>
      <c r="P656" s="66" t="n"/>
      <c r="Q656" s="66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66" t="n"/>
      <c r="C657" s="108" t="n"/>
      <c r="D657" s="68" t="n"/>
      <c r="E657" s="68" t="n"/>
      <c r="F657" s="68" t="n"/>
      <c r="G657" s="87" t="n"/>
      <c r="H657" s="69" t="n"/>
      <c r="I657" s="70" t="n"/>
      <c r="J657" s="79" t="n"/>
      <c r="K657" s="177" t="n"/>
      <c r="L657" s="174" t="n"/>
      <c r="M657" s="189" t="n"/>
      <c r="N657" s="66" t="n"/>
      <c r="O657" s="169" t="n"/>
      <c r="P657" s="66" t="n"/>
      <c r="Q657" s="66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66" t="n"/>
      <c r="C658" s="108" t="n"/>
      <c r="D658" s="68" t="n"/>
      <c r="E658" s="68" t="n"/>
      <c r="F658" s="340" t="n"/>
      <c r="G658" s="340" t="n"/>
      <c r="H658" s="340" t="n"/>
      <c r="I658" s="340" t="n"/>
      <c r="J658" s="340" t="n"/>
      <c r="K658" s="177" t="n"/>
      <c r="L658" s="174" t="n"/>
      <c r="M658" s="340" t="n"/>
      <c r="N658" s="66" t="n"/>
      <c r="O658" s="169" t="n"/>
      <c r="P658" s="66" t="n"/>
      <c r="Q658" s="66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66" t="n"/>
      <c r="C659" s="108" t="n"/>
      <c r="D659" s="68" t="n"/>
      <c r="E659" s="68" t="n"/>
      <c r="F659" s="178" t="n"/>
      <c r="G659" s="99" t="n"/>
      <c r="H659" s="100" t="n"/>
      <c r="I659" s="91" t="n"/>
      <c r="J659" s="93" t="n"/>
      <c r="K659" s="177" t="n"/>
      <c r="L659" s="174" t="n"/>
      <c r="M659" s="189" t="n"/>
      <c r="N659" s="66" t="n"/>
      <c r="O659" s="169" t="n"/>
      <c r="P659" s="66" t="n"/>
      <c r="Q659" s="66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66" t="n"/>
      <c r="C660" s="108" t="n"/>
      <c r="D660" s="68" t="n"/>
      <c r="E660" s="68" t="n"/>
      <c r="F660" s="178" t="n"/>
      <c r="G660" s="99" t="n"/>
      <c r="H660" s="100" t="n"/>
      <c r="I660" s="91" t="n"/>
      <c r="J660" s="93" t="n"/>
      <c r="K660" s="177" t="n"/>
      <c r="L660" s="174" t="n"/>
      <c r="M660" s="189" t="n"/>
      <c r="N660" s="66" t="n"/>
      <c r="O660" s="169" t="n"/>
      <c r="P660" s="66" t="n"/>
      <c r="Q660" s="66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66" t="n"/>
      <c r="C661" s="108" t="n"/>
      <c r="D661" s="68" t="n"/>
      <c r="E661" s="68" t="n"/>
      <c r="F661" s="178" t="n"/>
      <c r="G661" s="99" t="n"/>
      <c r="H661" s="100" t="n"/>
      <c r="I661" s="91" t="n"/>
      <c r="J661" s="93" t="n"/>
      <c r="K661" s="177" t="n"/>
      <c r="L661" s="174" t="n"/>
      <c r="M661" s="189" t="n"/>
      <c r="N661" s="66" t="n"/>
      <c r="O661" s="169" t="n"/>
      <c r="P661" s="66" t="n"/>
      <c r="Q661" s="66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66" t="n"/>
      <c r="C662" s="108" t="n"/>
      <c r="D662" s="68" t="n"/>
      <c r="E662" s="68" t="n"/>
      <c r="F662" s="178" t="n"/>
      <c r="G662" s="99" t="n"/>
      <c r="H662" s="100" t="n"/>
      <c r="I662" s="91" t="n"/>
      <c r="J662" s="93" t="n"/>
      <c r="K662" s="177" t="n"/>
      <c r="L662" s="174" t="n"/>
      <c r="M662" s="189" t="n"/>
      <c r="N662" s="66" t="n"/>
      <c r="O662" s="169" t="n"/>
      <c r="P662" s="66" t="n"/>
      <c r="Q662" s="66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66" t="n"/>
      <c r="C663" s="108" t="n"/>
      <c r="D663" s="68" t="n"/>
      <c r="E663" s="68" t="n"/>
      <c r="F663" s="178" t="n"/>
      <c r="G663" s="99" t="n"/>
      <c r="H663" s="100" t="n"/>
      <c r="I663" s="91" t="n"/>
      <c r="J663" s="93" t="n"/>
      <c r="K663" s="177" t="n"/>
      <c r="L663" s="174" t="n"/>
      <c r="M663" s="189" t="n"/>
      <c r="N663" s="66" t="n"/>
      <c r="O663" s="169" t="n"/>
      <c r="P663" s="66" t="n"/>
      <c r="Q663" s="66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66" t="n"/>
      <c r="C664" s="108" t="n"/>
      <c r="D664" s="68" t="n"/>
      <c r="E664" s="68" t="n"/>
      <c r="F664" s="178" t="n"/>
      <c r="G664" s="99" t="n"/>
      <c r="H664" s="100" t="n"/>
      <c r="I664" s="91" t="n"/>
      <c r="J664" s="93" t="n"/>
      <c r="K664" s="177" t="n"/>
      <c r="L664" s="174" t="n"/>
      <c r="M664" s="189" t="n"/>
      <c r="N664" s="66" t="n"/>
      <c r="O664" s="169" t="n"/>
      <c r="P664" s="66" t="n"/>
      <c r="Q664" s="66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66" t="n"/>
      <c r="C665" s="108" t="n"/>
      <c r="D665" s="68" t="n"/>
      <c r="E665" s="68" t="n"/>
      <c r="F665" s="68" t="n"/>
      <c r="G665" s="87" t="n"/>
      <c r="H665" s="69" t="n"/>
      <c r="I665" s="70" t="n"/>
      <c r="J665" s="79" t="n"/>
      <c r="K665" s="177" t="n"/>
      <c r="L665" s="174" t="n"/>
      <c r="M665" s="176" t="n"/>
      <c r="N665" s="66" t="n"/>
      <c r="O665" s="169" t="n"/>
      <c r="P665" s="66" t="n"/>
      <c r="Q665" s="66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66" t="n"/>
      <c r="C666" s="108" t="n"/>
      <c r="D666" s="68" t="n"/>
      <c r="E666" s="68" t="n"/>
      <c r="F666" s="340" t="n"/>
      <c r="G666" s="340" t="n"/>
      <c r="H666" s="340" t="n"/>
      <c r="I666" s="340" t="n"/>
      <c r="J666" s="340" t="n"/>
      <c r="K666" s="177" t="n"/>
      <c r="L666" s="174" t="n"/>
      <c r="M666" s="340" t="n"/>
      <c r="N666" s="66" t="n"/>
      <c r="O666" s="169" t="n"/>
      <c r="P666" s="66" t="n"/>
      <c r="Q666" s="66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66" t="n"/>
      <c r="C667" s="108" t="n"/>
      <c r="D667" s="68" t="n"/>
      <c r="E667" s="68" t="n"/>
      <c r="F667" s="178" t="n"/>
      <c r="G667" s="99" t="n"/>
      <c r="H667" s="100" t="n"/>
      <c r="I667" s="91" t="n"/>
      <c r="J667" s="93" t="n"/>
      <c r="K667" s="177" t="n"/>
      <c r="L667" s="174" t="n"/>
      <c r="M667" s="189" t="n"/>
      <c r="N667" s="66" t="n"/>
      <c r="O667" s="169" t="n"/>
      <c r="P667" s="66" t="n"/>
      <c r="Q667" s="66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66" t="n"/>
      <c r="C668" s="108" t="n"/>
      <c r="D668" s="68" t="n"/>
      <c r="E668" s="68" t="n"/>
      <c r="F668" s="178" t="n"/>
      <c r="G668" s="99" t="n"/>
      <c r="H668" s="100" t="n"/>
      <c r="I668" s="91" t="n"/>
      <c r="J668" s="93" t="n"/>
      <c r="K668" s="177" t="n"/>
      <c r="L668" s="174" t="n"/>
      <c r="M668" s="189" t="n"/>
      <c r="N668" s="66" t="n"/>
      <c r="O668" s="169" t="n"/>
      <c r="P668" s="66" t="n"/>
      <c r="Q668" s="66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66" t="n"/>
      <c r="C669" s="108" t="n"/>
      <c r="D669" s="68" t="n"/>
      <c r="E669" s="68" t="n"/>
      <c r="F669" s="68" t="n"/>
      <c r="G669" s="87" t="n"/>
      <c r="H669" s="69" t="n"/>
      <c r="I669" s="70" t="n"/>
      <c r="J669" s="79" t="n"/>
      <c r="K669" s="177" t="n"/>
      <c r="L669" s="174" t="n"/>
      <c r="M669" s="176" t="n"/>
      <c r="N669" s="66" t="n"/>
      <c r="O669" s="169" t="n"/>
      <c r="P669" s="66" t="n"/>
      <c r="Q669" s="66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66" t="n"/>
      <c r="C670" s="108" t="n"/>
      <c r="D670" s="68" t="n"/>
      <c r="E670" s="68" t="n"/>
      <c r="F670" s="340" t="n"/>
      <c r="G670" s="340" t="n"/>
      <c r="H670" s="340" t="n"/>
      <c r="I670" s="340" t="n"/>
      <c r="J670" s="340" t="n"/>
      <c r="K670" s="177" t="n"/>
      <c r="L670" s="174" t="n"/>
      <c r="M670" s="340" t="n"/>
      <c r="N670" s="66" t="n"/>
      <c r="O670" s="169" t="n"/>
      <c r="P670" s="66" t="n"/>
      <c r="Q670" s="66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66" t="n"/>
      <c r="C671" s="108" t="n"/>
      <c r="D671" s="68" t="n"/>
      <c r="E671" s="68" t="n"/>
      <c r="F671" s="178" t="n"/>
      <c r="G671" s="99" t="n"/>
      <c r="H671" s="100" t="n"/>
      <c r="I671" s="91" t="n"/>
      <c r="J671" s="93" t="n"/>
      <c r="K671" s="177" t="n"/>
      <c r="L671" s="174" t="n"/>
      <c r="M671" s="189" t="n"/>
      <c r="N671" s="66" t="n"/>
      <c r="O671" s="169" t="n"/>
      <c r="P671" s="66" t="n"/>
      <c r="Q671" s="66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66" t="n"/>
      <c r="C672" s="108" t="n"/>
      <c r="D672" s="68" t="n"/>
      <c r="E672" s="68" t="n"/>
      <c r="F672" s="68" t="n"/>
      <c r="G672" s="87" t="n"/>
      <c r="H672" s="69" t="n"/>
      <c r="I672" s="70" t="n"/>
      <c r="J672" s="79" t="n"/>
      <c r="K672" s="177" t="n"/>
      <c r="L672" s="174" t="n"/>
      <c r="M672" s="176" t="n"/>
      <c r="N672" s="66" t="n"/>
      <c r="O672" s="169" t="n"/>
      <c r="P672" s="66" t="n"/>
      <c r="Q672" s="66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66" t="n"/>
      <c r="C673" s="108" t="n"/>
      <c r="D673" s="68" t="n"/>
      <c r="E673" s="68" t="n"/>
      <c r="F673" s="340" t="n"/>
      <c r="G673" s="340" t="n"/>
      <c r="H673" s="340" t="n"/>
      <c r="I673" s="340" t="n"/>
      <c r="J673" s="340" t="n"/>
      <c r="K673" s="177" t="n"/>
      <c r="L673" s="174" t="n"/>
      <c r="M673" s="340" t="n"/>
      <c r="N673" s="66" t="n"/>
      <c r="O673" s="169" t="n"/>
      <c r="P673" s="66" t="n"/>
      <c r="Q673" s="66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66" t="n"/>
      <c r="C674" s="108" t="n"/>
      <c r="D674" s="68" t="n"/>
      <c r="E674" s="68" t="n"/>
      <c r="F674" s="178" t="n"/>
      <c r="G674" s="99" t="n"/>
      <c r="H674" s="100" t="n"/>
      <c r="I674" s="91" t="n"/>
      <c r="J674" s="93" t="n"/>
      <c r="K674" s="177" t="n"/>
      <c r="L674" s="174" t="n"/>
      <c r="M674" s="189" t="n"/>
      <c r="N674" s="66" t="n"/>
      <c r="O674" s="169" t="n"/>
      <c r="P674" s="66" t="n"/>
      <c r="Q674" s="66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66" t="n"/>
      <c r="C675" s="108" t="n"/>
      <c r="D675" s="68" t="n"/>
      <c r="E675" s="68" t="n"/>
      <c r="F675" s="68" t="n"/>
      <c r="G675" s="87" t="n"/>
      <c r="H675" s="69" t="n"/>
      <c r="I675" s="70" t="n"/>
      <c r="J675" s="348" t="n"/>
      <c r="K675" s="177" t="n"/>
      <c r="L675" s="174" t="n"/>
      <c r="M675" s="176" t="n"/>
      <c r="N675" s="66" t="n"/>
      <c r="O675" s="169" t="n"/>
      <c r="P675" s="66" t="n"/>
      <c r="Q675" s="66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66" t="n"/>
      <c r="C676" s="108" t="n"/>
      <c r="D676" s="68" t="n"/>
      <c r="E676" s="68" t="n"/>
      <c r="F676" s="340" t="n"/>
      <c r="G676" s="340" t="n"/>
      <c r="H676" s="340" t="n"/>
      <c r="I676" s="340" t="n"/>
      <c r="J676" s="340" t="n"/>
      <c r="K676" s="177" t="n"/>
      <c r="L676" s="174" t="n"/>
      <c r="M676" s="340" t="n"/>
      <c r="N676" s="66" t="n"/>
      <c r="O676" s="169" t="n"/>
      <c r="P676" s="66" t="n"/>
      <c r="Q676" s="66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66" t="n"/>
      <c r="C677" s="108" t="n"/>
      <c r="D677" s="68" t="n"/>
      <c r="E677" s="68" t="n"/>
      <c r="F677" s="178" t="n"/>
      <c r="G677" s="99" t="n"/>
      <c r="H677" s="100" t="n"/>
      <c r="I677" s="91" t="n"/>
      <c r="J677" s="93" t="n"/>
      <c r="K677" s="177" t="n"/>
      <c r="L677" s="174" t="n"/>
      <c r="M677" s="189" t="n"/>
      <c r="N677" s="66" t="n"/>
      <c r="O677" s="169" t="n"/>
      <c r="P677" s="66" t="n"/>
      <c r="Q677" s="66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66" t="n"/>
      <c r="C678" s="108" t="n"/>
      <c r="D678" s="68" t="n"/>
      <c r="E678" s="68" t="n"/>
      <c r="F678" s="178" t="n"/>
      <c r="G678" s="99" t="n"/>
      <c r="H678" s="100" t="n"/>
      <c r="I678" s="91" t="n"/>
      <c r="J678" s="93" t="n"/>
      <c r="K678" s="177" t="n"/>
      <c r="L678" s="174" t="n"/>
      <c r="M678" s="189" t="n"/>
      <c r="N678" s="66" t="n"/>
      <c r="O678" s="169" t="n"/>
      <c r="P678" s="66" t="n"/>
      <c r="Q678" s="66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66" t="n"/>
      <c r="C679" s="108" t="n"/>
      <c r="D679" s="68" t="n"/>
      <c r="E679" s="68" t="n"/>
      <c r="F679" s="178" t="n"/>
      <c r="G679" s="99" t="n"/>
      <c r="H679" s="100" t="n"/>
      <c r="I679" s="91" t="n"/>
      <c r="J679" s="93" t="n"/>
      <c r="K679" s="177" t="n"/>
      <c r="L679" s="174" t="n"/>
      <c r="M679" s="189" t="n"/>
      <c r="N679" s="66" t="n"/>
      <c r="O679" s="169" t="n"/>
      <c r="P679" s="66" t="n"/>
      <c r="Q679" s="66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66" t="n"/>
      <c r="C680" s="108" t="n"/>
      <c r="D680" s="68" t="n"/>
      <c r="E680" s="68" t="n"/>
      <c r="F680" s="68" t="n"/>
      <c r="G680" s="87" t="n"/>
      <c r="H680" s="69" t="n"/>
      <c r="I680" s="70" t="n"/>
      <c r="J680" s="79" t="n"/>
      <c r="K680" s="177" t="n"/>
      <c r="L680" s="174" t="n"/>
      <c r="M680" s="176" t="n"/>
      <c r="N680" s="66" t="n"/>
      <c r="O680" s="169" t="n"/>
      <c r="P680" s="66" t="n"/>
      <c r="Q680" s="66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66" t="n"/>
      <c r="C681" s="108" t="n"/>
      <c r="D681" s="68" t="n"/>
      <c r="E681" s="68" t="n"/>
      <c r="F681" s="343" t="n"/>
      <c r="G681" s="343" t="n"/>
      <c r="H681" s="343" t="n"/>
      <c r="I681" s="343" t="n"/>
      <c r="J681" s="343" t="n"/>
      <c r="K681" s="177" t="n"/>
      <c r="L681" s="174" t="n"/>
      <c r="M681" s="343" t="n"/>
      <c r="N681" s="66" t="n"/>
      <c r="O681" s="169" t="n"/>
      <c r="P681" s="66" t="n"/>
      <c r="Q681" s="66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66" t="n"/>
      <c r="C682" s="108" t="n"/>
      <c r="D682" s="68" t="n"/>
      <c r="E682" s="68" t="n"/>
      <c r="F682" s="343" t="n"/>
      <c r="G682" s="343" t="n"/>
      <c r="H682" s="343" t="n"/>
      <c r="I682" s="343" t="n"/>
      <c r="J682" s="343" t="n"/>
      <c r="K682" s="177" t="n"/>
      <c r="L682" s="174" t="n"/>
      <c r="M682" s="343" t="n"/>
      <c r="N682" s="66" t="n"/>
      <c r="O682" s="169" t="n"/>
      <c r="P682" s="66" t="n"/>
      <c r="Q682" s="66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66" t="n"/>
      <c r="C683" s="108" t="n"/>
      <c r="D683" s="68" t="n"/>
      <c r="E683" s="68" t="n"/>
      <c r="F683" s="340" t="n"/>
      <c r="G683" s="340" t="n"/>
      <c r="H683" s="340" t="n"/>
      <c r="I683" s="340" t="n"/>
      <c r="J683" s="340" t="n"/>
      <c r="K683" s="177" t="n"/>
      <c r="L683" s="174" t="n"/>
      <c r="M683" s="340" t="n"/>
      <c r="N683" s="66" t="n"/>
      <c r="O683" s="169" t="n"/>
      <c r="P683" s="66" t="n"/>
      <c r="Q683" s="66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66" t="n"/>
      <c r="C684" s="108" t="n"/>
      <c r="D684" s="68" t="n"/>
      <c r="E684" s="68" t="n"/>
      <c r="F684" s="68" t="n"/>
      <c r="G684" s="87" t="n"/>
      <c r="H684" s="69" t="n"/>
      <c r="I684" s="70" t="n"/>
      <c r="J684" s="79" t="n"/>
      <c r="K684" s="177" t="n"/>
      <c r="L684" s="174" t="n"/>
      <c r="M684" s="176" t="n"/>
      <c r="N684" s="66" t="n"/>
      <c r="O684" s="169" t="n"/>
      <c r="P684" s="66" t="n"/>
      <c r="Q684" s="66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66" t="n"/>
      <c r="C685" s="108" t="n"/>
      <c r="D685" s="68" t="n"/>
      <c r="E685" s="68" t="n"/>
      <c r="F685" s="343" t="n"/>
      <c r="G685" s="343" t="n"/>
      <c r="H685" s="343" t="n"/>
      <c r="I685" s="343" t="n"/>
      <c r="J685" s="343" t="n"/>
      <c r="K685" s="177" t="n"/>
      <c r="L685" s="174" t="n"/>
      <c r="M685" s="343" t="n"/>
      <c r="N685" s="66" t="n"/>
      <c r="O685" s="169" t="n"/>
      <c r="P685" s="66" t="n"/>
      <c r="Q685" s="66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66" t="n"/>
      <c r="C686" s="108" t="n"/>
      <c r="D686" s="68" t="n"/>
      <c r="E686" s="68" t="n"/>
      <c r="F686" s="340" t="n"/>
      <c r="G686" s="340" t="n"/>
      <c r="H686" s="340" t="n"/>
      <c r="I686" s="340" t="n"/>
      <c r="J686" s="340" t="n"/>
      <c r="K686" s="177" t="n"/>
      <c r="L686" s="174" t="n"/>
      <c r="M686" s="340" t="n"/>
      <c r="N686" s="66" t="n"/>
      <c r="O686" s="169" t="n"/>
      <c r="P686" s="66" t="n"/>
      <c r="Q686" s="66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66" t="n"/>
      <c r="C687" s="108" t="n"/>
      <c r="D687" s="68" t="n"/>
      <c r="E687" s="68" t="n"/>
      <c r="F687" s="68" t="n"/>
      <c r="G687" s="87" t="n"/>
      <c r="H687" s="69" t="n"/>
      <c r="I687" s="70" t="n"/>
      <c r="J687" s="79" t="n"/>
      <c r="K687" s="177" t="n"/>
      <c r="L687" s="174" t="n"/>
      <c r="M687" s="176" t="n"/>
      <c r="N687" s="66" t="n"/>
      <c r="O687" s="169" t="n"/>
      <c r="P687" s="66" t="n"/>
      <c r="Q687" s="66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66" t="n"/>
      <c r="C688" s="108" t="n"/>
      <c r="D688" s="68" t="n"/>
      <c r="E688" s="68" t="n"/>
      <c r="F688" s="343" t="n"/>
      <c r="G688" s="343" t="n"/>
      <c r="H688" s="343" t="n"/>
      <c r="I688" s="343" t="n"/>
      <c r="J688" s="343" t="n"/>
      <c r="K688" s="177" t="n"/>
      <c r="L688" s="174" t="n"/>
      <c r="M688" s="343" t="n"/>
      <c r="N688" s="66" t="n"/>
      <c r="O688" s="169" t="n"/>
      <c r="P688" s="66" t="n"/>
      <c r="Q688" s="66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66" t="n"/>
      <c r="C689" s="108" t="n"/>
      <c r="D689" s="68" t="n"/>
      <c r="E689" s="68" t="n"/>
      <c r="F689" s="340" t="n"/>
      <c r="G689" s="340" t="n"/>
      <c r="H689" s="340" t="n"/>
      <c r="I689" s="340" t="n"/>
      <c r="J689" s="340" t="n"/>
      <c r="K689" s="177" t="n"/>
      <c r="L689" s="174" t="n"/>
      <c r="M689" s="340" t="n"/>
      <c r="N689" s="66" t="n"/>
      <c r="O689" s="169" t="n"/>
      <c r="P689" s="66" t="n"/>
      <c r="Q689" s="66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66" t="n"/>
      <c r="C690" s="108" t="n"/>
      <c r="D690" s="68" t="n"/>
      <c r="E690" s="68" t="n"/>
      <c r="F690" s="178" t="n"/>
      <c r="G690" s="99" t="n"/>
      <c r="H690" s="100" t="n"/>
      <c r="I690" s="91" t="n"/>
      <c r="J690" s="93" t="n"/>
      <c r="K690" s="177" t="n"/>
      <c r="L690" s="174" t="n"/>
      <c r="M690" s="189" t="n"/>
      <c r="N690" s="66" t="n"/>
      <c r="O690" s="169" t="n"/>
      <c r="P690" s="66" t="n"/>
      <c r="Q690" s="66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66" t="n"/>
      <c r="C691" s="108" t="n"/>
      <c r="D691" s="68" t="n"/>
      <c r="E691" s="68" t="n"/>
      <c r="F691" s="68" t="n"/>
      <c r="G691" s="87" t="n"/>
      <c r="H691" s="69" t="n"/>
      <c r="I691" s="70" t="n"/>
      <c r="J691" s="79" t="n"/>
      <c r="K691" s="177" t="n"/>
      <c r="L691" s="174" t="n"/>
      <c r="M691" s="176" t="n"/>
      <c r="N691" s="66" t="n"/>
      <c r="O691" s="169" t="n"/>
      <c r="P691" s="66" t="n"/>
      <c r="Q691" s="66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66" t="n"/>
      <c r="C692" s="108" t="n"/>
      <c r="D692" s="68" t="n"/>
      <c r="E692" s="68" t="n"/>
      <c r="F692" s="343" t="n"/>
      <c r="G692" s="343" t="n"/>
      <c r="H692" s="343" t="n"/>
      <c r="I692" s="343" t="n"/>
      <c r="J692" s="343" t="n"/>
      <c r="K692" s="177" t="n"/>
      <c r="L692" s="174" t="n"/>
      <c r="M692" s="343" t="n"/>
      <c r="N692" s="66" t="n"/>
      <c r="O692" s="169" t="n"/>
      <c r="P692" s="66" t="n"/>
      <c r="Q692" s="66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66" t="n"/>
      <c r="C693" s="108" t="n"/>
      <c r="D693" s="68" t="n"/>
      <c r="E693" s="68" t="n"/>
      <c r="F693" s="340" t="n"/>
      <c r="G693" s="340" t="n"/>
      <c r="H693" s="340" t="n"/>
      <c r="I693" s="340" t="n"/>
      <c r="J693" s="340" t="n"/>
      <c r="K693" s="177" t="n"/>
      <c r="L693" s="174" t="n"/>
      <c r="M693" s="340" t="n"/>
      <c r="N693" s="66" t="n"/>
      <c r="O693" s="169" t="n"/>
      <c r="P693" s="66" t="n"/>
      <c r="Q693" s="66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66" t="n"/>
      <c r="C694" s="108" t="n"/>
      <c r="D694" s="68" t="n"/>
      <c r="E694" s="68" t="n"/>
      <c r="F694" s="178" t="n"/>
      <c r="G694" s="99" t="n"/>
      <c r="H694" s="100" t="n"/>
      <c r="I694" s="91" t="n"/>
      <c r="J694" s="93" t="n"/>
      <c r="K694" s="177" t="n"/>
      <c r="L694" s="174" t="n"/>
      <c r="M694" s="189" t="n"/>
      <c r="N694" s="66" t="n"/>
      <c r="O694" s="169" t="n"/>
      <c r="P694" s="66" t="n"/>
      <c r="Q694" s="66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66" t="n"/>
      <c r="C695" s="108" t="n"/>
      <c r="D695" s="68" t="n"/>
      <c r="E695" s="68" t="n"/>
      <c r="F695" s="68" t="n"/>
      <c r="G695" s="87" t="n"/>
      <c r="H695" s="69" t="n"/>
      <c r="I695" s="70" t="n"/>
      <c r="J695" s="79" t="n"/>
      <c r="K695" s="177" t="n"/>
      <c r="L695" s="174" t="n"/>
      <c r="M695" s="176" t="n"/>
      <c r="N695" s="66" t="n"/>
      <c r="O695" s="169" t="n"/>
      <c r="P695" s="66" t="n"/>
      <c r="Q695" s="66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66" t="n"/>
      <c r="C696" s="108" t="n"/>
      <c r="D696" s="68" t="n"/>
      <c r="E696" s="68" t="n"/>
      <c r="F696" s="340" t="n"/>
      <c r="G696" s="340" t="n"/>
      <c r="H696" s="340" t="n"/>
      <c r="I696" s="340" t="n"/>
      <c r="J696" s="340" t="n"/>
      <c r="K696" s="177" t="n"/>
      <c r="L696" s="174" t="n"/>
      <c r="M696" s="340" t="n"/>
      <c r="N696" s="66" t="n"/>
      <c r="O696" s="169" t="n"/>
      <c r="P696" s="66" t="n"/>
      <c r="Q696" s="66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66" t="n"/>
      <c r="C697" s="108" t="n"/>
      <c r="D697" s="68" t="n"/>
      <c r="E697" s="68" t="n"/>
      <c r="F697" s="68" t="n"/>
      <c r="G697" s="87" t="n"/>
      <c r="H697" s="69" t="n"/>
      <c r="I697" s="70" t="n"/>
      <c r="J697" s="79" t="n"/>
      <c r="K697" s="177" t="n"/>
      <c r="L697" s="174" t="n"/>
      <c r="M697" s="176" t="n"/>
      <c r="N697" s="66" t="n"/>
      <c r="O697" s="169" t="n"/>
      <c r="P697" s="66" t="n"/>
      <c r="Q697" s="66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66" t="n"/>
      <c r="C698" s="108" t="n"/>
      <c r="D698" s="68" t="n"/>
      <c r="E698" s="68" t="n"/>
      <c r="F698" s="343" t="n"/>
      <c r="G698" s="343" t="n"/>
      <c r="H698" s="343" t="n"/>
      <c r="I698" s="343" t="n"/>
      <c r="J698" s="343" t="n"/>
      <c r="K698" s="177" t="n"/>
      <c r="L698" s="174" t="n"/>
      <c r="M698" s="343" t="n"/>
      <c r="N698" s="66" t="n"/>
      <c r="O698" s="169" t="n"/>
      <c r="P698" s="66" t="n"/>
      <c r="Q698" s="66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66" t="n"/>
      <c r="C699" s="108" t="n"/>
      <c r="D699" s="68" t="n"/>
      <c r="E699" s="68" t="n"/>
      <c r="F699" s="340" t="n"/>
      <c r="G699" s="340" t="n"/>
      <c r="H699" s="340" t="n"/>
      <c r="I699" s="340" t="n"/>
      <c r="J699" s="340" t="n"/>
      <c r="K699" s="177" t="n"/>
      <c r="L699" s="174" t="n"/>
      <c r="M699" s="340" t="n"/>
      <c r="N699" s="66" t="n"/>
      <c r="O699" s="169" t="n"/>
      <c r="P699" s="66" t="n"/>
      <c r="Q699" s="66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66" t="n"/>
      <c r="C700" s="108" t="n"/>
      <c r="D700" s="68" t="n"/>
      <c r="E700" s="68" t="n"/>
      <c r="F700" s="178" t="n"/>
      <c r="G700" s="99" t="n"/>
      <c r="H700" s="100" t="n"/>
      <c r="I700" s="91" t="n"/>
      <c r="J700" s="93" t="n"/>
      <c r="K700" s="177" t="n"/>
      <c r="L700" s="174" t="n"/>
      <c r="M700" s="189" t="n"/>
      <c r="N700" s="66" t="n"/>
      <c r="O700" s="169" t="n"/>
      <c r="P700" s="66" t="n"/>
      <c r="Q700" s="66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66" t="n"/>
      <c r="C701" s="108" t="n"/>
      <c r="D701" s="68" t="n"/>
      <c r="E701" s="68" t="n"/>
      <c r="F701" s="178" t="n"/>
      <c r="G701" s="99" t="n"/>
      <c r="H701" s="100" t="n"/>
      <c r="I701" s="91" t="n"/>
      <c r="J701" s="93" t="n"/>
      <c r="K701" s="177" t="n"/>
      <c r="L701" s="174" t="n"/>
      <c r="M701" s="189" t="n"/>
      <c r="N701" s="66" t="n"/>
      <c r="O701" s="169" t="n"/>
      <c r="P701" s="66" t="n"/>
      <c r="Q701" s="66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66" t="n"/>
      <c r="C702" s="108" t="n"/>
      <c r="D702" s="68" t="n"/>
      <c r="E702" s="68" t="n"/>
      <c r="F702" s="178" t="n"/>
      <c r="G702" s="99" t="n"/>
      <c r="H702" s="100" t="n"/>
      <c r="I702" s="91" t="n"/>
      <c r="J702" s="93" t="n"/>
      <c r="K702" s="177" t="n"/>
      <c r="L702" s="174" t="n"/>
      <c r="M702" s="189" t="n"/>
      <c r="N702" s="66" t="n"/>
      <c r="O702" s="169" t="n"/>
      <c r="P702" s="66" t="n"/>
      <c r="Q702" s="66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66" t="n"/>
      <c r="C703" s="108" t="n"/>
      <c r="D703" s="68" t="n"/>
      <c r="E703" s="68" t="n"/>
      <c r="F703" s="178" t="n"/>
      <c r="G703" s="99" t="n"/>
      <c r="H703" s="100" t="n"/>
      <c r="I703" s="91" t="n"/>
      <c r="J703" s="93" t="n"/>
      <c r="K703" s="177" t="n"/>
      <c r="L703" s="174" t="n"/>
      <c r="M703" s="189" t="n"/>
      <c r="N703" s="66" t="n"/>
      <c r="O703" s="169" t="n"/>
      <c r="P703" s="66" t="n"/>
      <c r="Q703" s="66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66" t="n"/>
      <c r="C704" s="108" t="n"/>
      <c r="D704" s="68" t="n"/>
      <c r="E704" s="68" t="n"/>
      <c r="F704" s="178" t="n"/>
      <c r="G704" s="99" t="n"/>
      <c r="H704" s="100" t="n"/>
      <c r="I704" s="91" t="n"/>
      <c r="J704" s="93" t="n"/>
      <c r="K704" s="177" t="n"/>
      <c r="L704" s="174" t="n"/>
      <c r="M704" s="189" t="n"/>
      <c r="N704" s="66" t="n"/>
      <c r="O704" s="169" t="n"/>
      <c r="P704" s="66" t="n"/>
      <c r="Q704" s="66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66" t="n"/>
      <c r="C705" s="108" t="n"/>
      <c r="D705" s="68" t="n"/>
      <c r="E705" s="68" t="n"/>
      <c r="F705" s="68" t="n"/>
      <c r="G705" s="87" t="n"/>
      <c r="H705" s="69" t="n"/>
      <c r="I705" s="70" t="n"/>
      <c r="J705" s="79" t="n"/>
      <c r="K705" s="177" t="n"/>
      <c r="L705" s="174" t="n"/>
      <c r="M705" s="176" t="n"/>
      <c r="N705" s="66" t="n"/>
      <c r="O705" s="169" t="n"/>
      <c r="P705" s="66" t="n"/>
      <c r="Q705" s="66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66" t="n"/>
      <c r="C706" s="108" t="n"/>
      <c r="D706" s="68" t="n"/>
      <c r="E706" s="68" t="n"/>
      <c r="F706" s="343" t="n"/>
      <c r="G706" s="343" t="n"/>
      <c r="H706" s="343" t="n"/>
      <c r="I706" s="343" t="n"/>
      <c r="J706" s="343" t="n"/>
      <c r="K706" s="177" t="n"/>
      <c r="L706" s="174" t="n"/>
      <c r="M706" s="343" t="n"/>
      <c r="N706" s="66" t="n"/>
      <c r="O706" s="169" t="n"/>
      <c r="P706" s="66" t="n"/>
      <c r="Q706" s="66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66" t="n"/>
      <c r="C707" s="108" t="n"/>
      <c r="D707" s="68" t="n"/>
      <c r="E707" s="68" t="n"/>
      <c r="F707" s="340" t="n"/>
      <c r="G707" s="340" t="n"/>
      <c r="H707" s="340" t="n"/>
      <c r="I707" s="340" t="n"/>
      <c r="J707" s="340" t="n"/>
      <c r="K707" s="177" t="n"/>
      <c r="L707" s="174" t="n"/>
      <c r="M707" s="340" t="n"/>
      <c r="N707" s="66" t="n"/>
      <c r="O707" s="169" t="n"/>
      <c r="P707" s="66" t="n"/>
      <c r="Q707" s="66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66" t="n"/>
      <c r="C708" s="108" t="n"/>
      <c r="D708" s="68" t="n"/>
      <c r="E708" s="68" t="n"/>
      <c r="F708" s="68" t="n"/>
      <c r="G708" s="87" t="n"/>
      <c r="H708" s="69" t="n"/>
      <c r="I708" s="70" t="n"/>
      <c r="J708" s="79" t="n"/>
      <c r="K708" s="177" t="n"/>
      <c r="L708" s="174" t="n"/>
      <c r="M708" s="176" t="n"/>
      <c r="N708" s="66" t="n"/>
      <c r="O708" s="169" t="n"/>
      <c r="P708" s="66" t="n"/>
      <c r="Q708" s="66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66" t="n"/>
      <c r="C709" s="108" t="n"/>
      <c r="D709" s="68" t="n"/>
      <c r="E709" s="68" t="n"/>
      <c r="F709" s="340" t="n"/>
      <c r="G709" s="340" t="n"/>
      <c r="H709" s="340" t="n"/>
      <c r="I709" s="340" t="n"/>
      <c r="J709" s="340" t="n"/>
      <c r="K709" s="177" t="n"/>
      <c r="L709" s="174" t="n"/>
      <c r="M709" s="340" t="n"/>
      <c r="N709" s="66" t="n"/>
      <c r="O709" s="169" t="n"/>
      <c r="P709" s="66" t="n"/>
      <c r="Q709" s="66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66" t="n"/>
      <c r="C710" s="108" t="n"/>
      <c r="D710" s="68" t="n"/>
      <c r="E710" s="68" t="n"/>
      <c r="F710" s="178" t="n"/>
      <c r="G710" s="99" t="n"/>
      <c r="H710" s="100" t="n"/>
      <c r="I710" s="91" t="n"/>
      <c r="J710" s="93" t="n"/>
      <c r="K710" s="177" t="n"/>
      <c r="L710" s="174" t="n"/>
      <c r="M710" s="189" t="n"/>
      <c r="N710" s="66" t="n"/>
      <c r="O710" s="169" t="n"/>
      <c r="P710" s="66" t="n"/>
      <c r="Q710" s="66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66" t="n"/>
      <c r="C711" s="108" t="n"/>
      <c r="D711" s="68" t="n"/>
      <c r="E711" s="68" t="n"/>
      <c r="F711" s="178" t="n"/>
      <c r="G711" s="99" t="n"/>
      <c r="H711" s="100" t="n"/>
      <c r="I711" s="91" t="n"/>
      <c r="J711" s="93" t="n"/>
      <c r="K711" s="177" t="n"/>
      <c r="L711" s="174" t="n"/>
      <c r="M711" s="189" t="n"/>
      <c r="N711" s="66" t="n"/>
      <c r="O711" s="169" t="n"/>
      <c r="P711" s="66" t="n"/>
      <c r="Q711" s="66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66" t="n"/>
      <c r="C712" s="108" t="n"/>
      <c r="D712" s="68" t="n"/>
      <c r="E712" s="68" t="n"/>
      <c r="F712" s="178" t="n"/>
      <c r="G712" s="99" t="n"/>
      <c r="H712" s="100" t="n"/>
      <c r="I712" s="91" t="n"/>
      <c r="J712" s="93" t="n"/>
      <c r="K712" s="177" t="n"/>
      <c r="L712" s="174" t="n"/>
      <c r="M712" s="189" t="n"/>
      <c r="N712" s="66" t="n"/>
      <c r="O712" s="169" t="n"/>
      <c r="P712" s="66" t="n"/>
      <c r="Q712" s="66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66" t="n"/>
      <c r="C713" s="108" t="n"/>
      <c r="D713" s="68" t="n"/>
      <c r="E713" s="68" t="n"/>
      <c r="F713" s="178" t="n"/>
      <c r="G713" s="99" t="n"/>
      <c r="H713" s="100" t="n"/>
      <c r="I713" s="91" t="n"/>
      <c r="J713" s="93" t="n"/>
      <c r="K713" s="177" t="n"/>
      <c r="L713" s="174" t="n"/>
      <c r="M713" s="189" t="n"/>
      <c r="N713" s="66" t="n"/>
      <c r="O713" s="169" t="n"/>
      <c r="P713" s="66" t="n"/>
      <c r="Q713" s="66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66" t="n"/>
      <c r="C714" s="108" t="n"/>
      <c r="D714" s="68" t="n"/>
      <c r="E714" s="68" t="n"/>
      <c r="F714" s="178" t="n"/>
      <c r="G714" s="99" t="n"/>
      <c r="H714" s="100" t="n"/>
      <c r="I714" s="91" t="n"/>
      <c r="J714" s="93" t="n"/>
      <c r="K714" s="177" t="n"/>
      <c r="L714" s="174" t="n"/>
      <c r="M714" s="189" t="n"/>
      <c r="N714" s="66" t="n"/>
      <c r="O714" s="169" t="n"/>
      <c r="P714" s="66" t="n"/>
      <c r="Q714" s="66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66" t="n"/>
      <c r="C715" s="108" t="n"/>
      <c r="D715" s="68" t="n"/>
      <c r="E715" s="68" t="n"/>
      <c r="F715" s="68" t="n"/>
      <c r="G715" s="87" t="n"/>
      <c r="H715" s="69" t="n"/>
      <c r="I715" s="70" t="n"/>
      <c r="J715" s="79" t="n"/>
      <c r="K715" s="177" t="n"/>
      <c r="L715" s="174" t="n"/>
      <c r="M715" s="176" t="n"/>
      <c r="N715" s="66" t="n"/>
      <c r="O715" s="169" t="n"/>
      <c r="P715" s="66" t="n"/>
      <c r="Q715" s="66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66" t="n"/>
      <c r="C716" s="108" t="n"/>
      <c r="D716" s="68" t="n"/>
      <c r="E716" s="68" t="n"/>
      <c r="F716" s="340" t="n"/>
      <c r="G716" s="340" t="n"/>
      <c r="H716" s="340" t="n"/>
      <c r="I716" s="340" t="n"/>
      <c r="J716" s="340" t="n"/>
      <c r="K716" s="177" t="n"/>
      <c r="L716" s="174" t="n"/>
      <c r="M716" s="340" t="n"/>
      <c r="N716" s="66" t="n"/>
      <c r="O716" s="169" t="n"/>
      <c r="P716" s="66" t="n"/>
      <c r="Q716" s="66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66" t="n"/>
      <c r="C717" s="108" t="n"/>
      <c r="D717" s="68" t="n"/>
      <c r="E717" s="68" t="n"/>
      <c r="F717" s="178" t="n"/>
      <c r="G717" s="99" t="n"/>
      <c r="H717" s="100" t="n"/>
      <c r="I717" s="91" t="n"/>
      <c r="J717" s="93" t="n"/>
      <c r="K717" s="177" t="n"/>
      <c r="L717" s="174" t="n"/>
      <c r="M717" s="189" t="n"/>
      <c r="N717" s="66" t="n"/>
      <c r="O717" s="169" t="n"/>
      <c r="P717" s="66" t="n"/>
      <c r="Q717" s="66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66" t="n"/>
      <c r="C718" s="108" t="n"/>
      <c r="D718" s="68" t="n"/>
      <c r="E718" s="68" t="n"/>
      <c r="F718" s="68" t="n"/>
      <c r="G718" s="87" t="n"/>
      <c r="H718" s="69" t="n"/>
      <c r="I718" s="70" t="n"/>
      <c r="J718" s="79" t="n"/>
      <c r="K718" s="177" t="n"/>
      <c r="L718" s="174" t="n"/>
      <c r="M718" s="176" t="n"/>
      <c r="N718" s="66" t="n"/>
      <c r="O718" s="169" t="n"/>
      <c r="P718" s="66" t="n"/>
      <c r="Q718" s="66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66" t="n"/>
      <c r="C719" s="108" t="n"/>
      <c r="D719" s="68" t="n"/>
      <c r="E719" s="68" t="n"/>
      <c r="F719" s="340" t="n"/>
      <c r="G719" s="340" t="n"/>
      <c r="H719" s="340" t="n"/>
      <c r="I719" s="340" t="n"/>
      <c r="J719" s="340" t="n"/>
      <c r="K719" s="177" t="n"/>
      <c r="L719" s="174" t="n"/>
      <c r="M719" s="340" t="n"/>
      <c r="N719" s="66" t="n"/>
      <c r="O719" s="169" t="n"/>
      <c r="P719" s="66" t="n"/>
      <c r="Q719" s="66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66" t="n"/>
      <c r="C720" s="108" t="n"/>
      <c r="D720" s="68" t="n"/>
      <c r="E720" s="68" t="n"/>
      <c r="F720" s="178" t="n"/>
      <c r="G720" s="99" t="n"/>
      <c r="H720" s="100" t="n"/>
      <c r="I720" s="91" t="n"/>
      <c r="J720" s="93" t="n"/>
      <c r="K720" s="177" t="n"/>
      <c r="L720" s="174" t="n"/>
      <c r="M720" s="189" t="n"/>
      <c r="N720" s="66" t="n"/>
      <c r="O720" s="169" t="n"/>
      <c r="P720" s="66" t="n"/>
      <c r="Q720" s="66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66" t="n"/>
      <c r="C721" s="108" t="n"/>
      <c r="D721" s="68" t="n"/>
      <c r="E721" s="68" t="n"/>
      <c r="F721" s="68" t="n"/>
      <c r="G721" s="87" t="n"/>
      <c r="H721" s="69" t="n"/>
      <c r="I721" s="70" t="n"/>
      <c r="J721" s="79" t="n"/>
      <c r="K721" s="177" t="n"/>
      <c r="L721" s="174" t="n"/>
      <c r="M721" s="176" t="n"/>
      <c r="N721" s="66" t="n"/>
      <c r="O721" s="169" t="n"/>
      <c r="P721" s="66" t="n"/>
      <c r="Q721" s="66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66" t="n"/>
      <c r="C722" s="108" t="n"/>
      <c r="D722" s="68" t="n"/>
      <c r="E722" s="68" t="n"/>
      <c r="F722" s="343" t="n"/>
      <c r="G722" s="343" t="n"/>
      <c r="H722" s="343" t="n"/>
      <c r="I722" s="343" t="n"/>
      <c r="J722" s="343" t="n"/>
      <c r="K722" s="177" t="n"/>
      <c r="L722" s="174" t="n"/>
      <c r="M722" s="343" t="n"/>
      <c r="N722" s="66" t="n"/>
      <c r="O722" s="169" t="n"/>
      <c r="P722" s="66" t="n"/>
      <c r="Q722" s="66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66" t="n"/>
      <c r="C723" s="108" t="n"/>
      <c r="D723" s="68" t="n"/>
      <c r="E723" s="68" t="n"/>
      <c r="F723" s="343" t="n"/>
      <c r="G723" s="343" t="n"/>
      <c r="H723" s="343" t="n"/>
      <c r="I723" s="343" t="n"/>
      <c r="J723" s="343" t="n"/>
      <c r="K723" s="177" t="n"/>
      <c r="L723" s="174" t="n"/>
      <c r="M723" s="343" t="n"/>
      <c r="N723" s="66" t="n"/>
      <c r="O723" s="169" t="n"/>
      <c r="P723" s="66" t="n"/>
      <c r="Q723" s="66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66" t="n"/>
      <c r="C724" s="108" t="n"/>
      <c r="D724" s="68" t="n"/>
      <c r="E724" s="68" t="n"/>
      <c r="F724" s="343" t="n"/>
      <c r="G724" s="343" t="n"/>
      <c r="H724" s="343" t="n"/>
      <c r="I724" s="343" t="n"/>
      <c r="J724" s="343" t="n"/>
      <c r="K724" s="177" t="n"/>
      <c r="L724" s="174" t="n"/>
      <c r="M724" s="343" t="n"/>
      <c r="N724" s="66" t="n"/>
      <c r="O724" s="169" t="n"/>
      <c r="P724" s="66" t="n"/>
      <c r="Q724" s="66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66" t="n"/>
      <c r="C725" s="108" t="n"/>
      <c r="D725" s="68" t="n"/>
      <c r="E725" s="68" t="n"/>
      <c r="F725" s="343" t="n"/>
      <c r="G725" s="343" t="n"/>
      <c r="H725" s="343" t="n"/>
      <c r="I725" s="343" t="n"/>
      <c r="J725" s="343" t="n"/>
      <c r="K725" s="177" t="n"/>
      <c r="L725" s="174" t="n"/>
      <c r="M725" s="343" t="n"/>
      <c r="N725" s="66" t="n"/>
      <c r="O725" s="169" t="n"/>
      <c r="P725" s="66" t="n"/>
      <c r="Q725" s="66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66" t="n"/>
      <c r="C726" s="108" t="n"/>
      <c r="D726" s="68" t="n"/>
      <c r="E726" s="68" t="n"/>
      <c r="F726" s="343" t="n"/>
      <c r="G726" s="343" t="n"/>
      <c r="H726" s="343" t="n"/>
      <c r="I726" s="343" t="n"/>
      <c r="J726" s="343" t="n"/>
      <c r="K726" s="177" t="n"/>
      <c r="L726" s="174" t="n"/>
      <c r="M726" s="343" t="n"/>
      <c r="N726" s="66" t="n"/>
      <c r="O726" s="169" t="n"/>
      <c r="P726" s="66" t="n"/>
      <c r="Q726" s="66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66" t="n"/>
      <c r="C727" s="108" t="n"/>
      <c r="D727" s="68" t="n"/>
      <c r="E727" s="68" t="n"/>
      <c r="F727" s="340" t="n"/>
      <c r="G727" s="340" t="n"/>
      <c r="H727" s="340" t="n"/>
      <c r="I727" s="340" t="n"/>
      <c r="J727" s="340" t="n"/>
      <c r="K727" s="177" t="n"/>
      <c r="L727" s="174" t="n"/>
      <c r="M727" s="340" t="n"/>
      <c r="N727" s="66" t="n"/>
      <c r="O727" s="169" t="n"/>
      <c r="P727" s="66" t="n"/>
      <c r="Q727" s="66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66" t="n"/>
      <c r="C728" s="108" t="n"/>
      <c r="D728" s="68" t="n"/>
      <c r="E728" s="68" t="n"/>
      <c r="F728" s="68" t="n"/>
      <c r="G728" s="87" t="n"/>
      <c r="H728" s="69" t="n"/>
      <c r="I728" s="70" t="n"/>
      <c r="J728" s="79" t="n"/>
      <c r="K728" s="177" t="n"/>
      <c r="L728" s="174" t="n"/>
      <c r="M728" s="176" t="n"/>
      <c r="N728" s="66" t="n"/>
      <c r="O728" s="169" t="n"/>
      <c r="P728" s="66" t="n"/>
      <c r="Q728" s="66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66" t="n"/>
      <c r="C729" s="108" t="n"/>
      <c r="D729" s="68" t="n"/>
      <c r="E729" s="68" t="n"/>
      <c r="F729" s="340" t="n"/>
      <c r="G729" s="340" t="n"/>
      <c r="H729" s="340" t="n"/>
      <c r="I729" s="340" t="n"/>
      <c r="J729" s="340" t="n"/>
      <c r="K729" s="177" t="n"/>
      <c r="L729" s="174" t="n"/>
      <c r="M729" s="340" t="n"/>
      <c r="N729" s="66" t="n"/>
      <c r="O729" s="169" t="n"/>
      <c r="P729" s="66" t="n"/>
      <c r="Q729" s="66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66" t="n"/>
      <c r="C730" s="108" t="n"/>
      <c r="D730" s="68" t="n"/>
      <c r="E730" s="68" t="n"/>
      <c r="F730" s="178" t="n"/>
      <c r="G730" s="99" t="n"/>
      <c r="H730" s="100" t="n"/>
      <c r="I730" s="91" t="n"/>
      <c r="J730" s="93" t="n"/>
      <c r="K730" s="177" t="n"/>
      <c r="L730" s="174" t="n"/>
      <c r="M730" s="189" t="n"/>
      <c r="N730" s="66" t="n"/>
      <c r="O730" s="169" t="n"/>
      <c r="P730" s="66" t="n"/>
      <c r="Q730" s="66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66" t="n"/>
      <c r="C731" s="108" t="n"/>
      <c r="D731" s="68" t="n"/>
      <c r="E731" s="68" t="n"/>
      <c r="F731" s="178" t="n"/>
      <c r="G731" s="99" t="n"/>
      <c r="H731" s="100" t="n"/>
      <c r="I731" s="91" t="n"/>
      <c r="J731" s="93" t="n"/>
      <c r="K731" s="177" t="n"/>
      <c r="L731" s="174" t="n"/>
      <c r="M731" s="189" t="n"/>
      <c r="N731" s="66" t="n"/>
      <c r="O731" s="169" t="n"/>
      <c r="P731" s="66" t="n"/>
      <c r="Q731" s="66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66" t="n"/>
      <c r="C732" s="108" t="n"/>
      <c r="D732" s="68" t="n"/>
      <c r="E732" s="68" t="n"/>
      <c r="F732" s="178" t="n"/>
      <c r="G732" s="99" t="n"/>
      <c r="H732" s="100" t="n"/>
      <c r="I732" s="91" t="n"/>
      <c r="J732" s="93" t="n"/>
      <c r="K732" s="177" t="n"/>
      <c r="L732" s="174" t="n"/>
      <c r="M732" s="189" t="n"/>
      <c r="N732" s="66" t="n"/>
      <c r="O732" s="169" t="n"/>
      <c r="P732" s="66" t="n"/>
      <c r="Q732" s="66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66" t="n"/>
      <c r="C733" s="108" t="n"/>
      <c r="D733" s="68" t="n"/>
      <c r="E733" s="68" t="n"/>
      <c r="F733" s="68" t="n"/>
      <c r="G733" s="87" t="n"/>
      <c r="H733" s="69" t="n"/>
      <c r="I733" s="70" t="n"/>
      <c r="J733" s="79" t="n"/>
      <c r="K733" s="177" t="n"/>
      <c r="L733" s="174" t="n"/>
      <c r="M733" s="176" t="n"/>
      <c r="N733" s="66" t="n"/>
      <c r="O733" s="169" t="n"/>
      <c r="P733" s="66" t="n"/>
      <c r="Q733" s="66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66" t="n"/>
      <c r="C734" s="108" t="n"/>
      <c r="D734" s="68" t="n"/>
      <c r="E734" s="68" t="n"/>
      <c r="F734" s="340" t="n"/>
      <c r="G734" s="340" t="n"/>
      <c r="H734" s="340" t="n"/>
      <c r="I734" s="340" t="n"/>
      <c r="J734" s="340" t="n"/>
      <c r="K734" s="177" t="n"/>
      <c r="L734" s="174" t="n"/>
      <c r="M734" s="340" t="n"/>
      <c r="N734" s="66" t="n"/>
      <c r="O734" s="169" t="n"/>
      <c r="P734" s="66" t="n"/>
      <c r="Q734" s="66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66" t="n"/>
      <c r="C735" s="108" t="n"/>
      <c r="D735" s="68" t="n"/>
      <c r="E735" s="68" t="n"/>
      <c r="F735" s="178" t="n"/>
      <c r="G735" s="99" t="n"/>
      <c r="H735" s="100" t="n"/>
      <c r="I735" s="91" t="n"/>
      <c r="J735" s="93" t="n"/>
      <c r="K735" s="177" t="n"/>
      <c r="L735" s="174" t="n"/>
      <c r="M735" s="189" t="n"/>
      <c r="N735" s="66" t="n"/>
      <c r="O735" s="169" t="n"/>
      <c r="P735" s="66" t="n"/>
      <c r="Q735" s="66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66" t="n"/>
      <c r="C736" s="108" t="n"/>
      <c r="D736" s="68" t="n"/>
      <c r="E736" s="68" t="n"/>
      <c r="F736" s="178" t="n"/>
      <c r="G736" s="99" t="n"/>
      <c r="H736" s="100" t="n"/>
      <c r="I736" s="91" t="n"/>
      <c r="J736" s="93" t="n"/>
      <c r="K736" s="177" t="n"/>
      <c r="L736" s="174" t="n"/>
      <c r="M736" s="189" t="n"/>
      <c r="N736" s="66" t="n"/>
      <c r="O736" s="169" t="n"/>
      <c r="P736" s="66" t="n"/>
      <c r="Q736" s="66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66" t="n"/>
      <c r="C737" s="108" t="n"/>
      <c r="D737" s="68" t="n"/>
      <c r="E737" s="68" t="n"/>
      <c r="F737" s="68" t="n"/>
      <c r="G737" s="87" t="n"/>
      <c r="H737" s="69" t="n"/>
      <c r="I737" s="70" t="n"/>
      <c r="J737" s="79" t="n"/>
      <c r="K737" s="177" t="n"/>
      <c r="L737" s="174" t="n"/>
      <c r="M737" s="176" t="n"/>
      <c r="N737" s="66" t="n"/>
      <c r="O737" s="169" t="n"/>
      <c r="P737" s="66" t="n"/>
      <c r="Q737" s="66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66" t="n"/>
      <c r="C738" s="108" t="n"/>
      <c r="D738" s="68" t="n"/>
      <c r="E738" s="68" t="n"/>
      <c r="F738" s="340" t="n"/>
      <c r="G738" s="340" t="n"/>
      <c r="H738" s="340" t="n"/>
      <c r="I738" s="340" t="n"/>
      <c r="J738" s="340" t="n"/>
      <c r="K738" s="177" t="n"/>
      <c r="L738" s="174" t="n"/>
      <c r="M738" s="340" t="n"/>
      <c r="N738" s="66" t="n"/>
      <c r="O738" s="169" t="n"/>
      <c r="P738" s="66" t="n"/>
      <c r="Q738" s="66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66" t="n"/>
      <c r="C739" s="108" t="n"/>
      <c r="D739" s="68" t="n"/>
      <c r="E739" s="68" t="n"/>
      <c r="F739" s="178" t="n"/>
      <c r="G739" s="99" t="n"/>
      <c r="H739" s="100" t="n"/>
      <c r="I739" s="91" t="n"/>
      <c r="J739" s="93" t="n"/>
      <c r="K739" s="177" t="n"/>
      <c r="L739" s="174" t="n"/>
      <c r="M739" s="189" t="n"/>
      <c r="N739" s="66" t="n"/>
      <c r="O739" s="169" t="n"/>
      <c r="P739" s="66" t="n"/>
      <c r="Q739" s="66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66" t="n"/>
      <c r="C740" s="108" t="n"/>
      <c r="D740" s="68" t="n"/>
      <c r="E740" s="68" t="n"/>
      <c r="F740" s="178" t="n"/>
      <c r="G740" s="99" t="n"/>
      <c r="H740" s="100" t="n"/>
      <c r="I740" s="91" t="n"/>
      <c r="J740" s="93" t="n"/>
      <c r="K740" s="177" t="n"/>
      <c r="L740" s="174" t="n"/>
      <c r="M740" s="189" t="n"/>
      <c r="N740" s="66" t="n"/>
      <c r="O740" s="169" t="n"/>
      <c r="P740" s="66" t="n"/>
      <c r="Q740" s="66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66" t="n"/>
      <c r="C741" s="108" t="n"/>
      <c r="D741" s="68" t="n"/>
      <c r="E741" s="68" t="n"/>
      <c r="F741" s="178" t="n"/>
      <c r="G741" s="99" t="n"/>
      <c r="H741" s="100" t="n"/>
      <c r="I741" s="91" t="n"/>
      <c r="J741" s="93" t="n"/>
      <c r="K741" s="177" t="n"/>
      <c r="L741" s="174" t="n"/>
      <c r="M741" s="189" t="n"/>
      <c r="N741" s="66" t="n"/>
      <c r="O741" s="169" t="n"/>
      <c r="P741" s="66" t="n"/>
      <c r="Q741" s="66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66" t="n"/>
      <c r="C742" s="108" t="n"/>
      <c r="D742" s="68" t="n"/>
      <c r="E742" s="68" t="n"/>
      <c r="F742" s="68" t="n"/>
      <c r="G742" s="87" t="n"/>
      <c r="H742" s="69" t="n"/>
      <c r="I742" s="70" t="n"/>
      <c r="J742" s="79" t="n"/>
      <c r="K742" s="177" t="n"/>
      <c r="L742" s="174" t="n"/>
      <c r="M742" s="176" t="n"/>
      <c r="N742" s="66" t="n"/>
      <c r="O742" s="169" t="n"/>
      <c r="P742" s="66" t="n"/>
      <c r="Q742" s="66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66" t="n"/>
      <c r="C743" s="108" t="n"/>
      <c r="D743" s="68" t="n"/>
      <c r="E743" s="68" t="n"/>
      <c r="F743" s="340" t="n"/>
      <c r="G743" s="340" t="n"/>
      <c r="H743" s="340" t="n"/>
      <c r="I743" s="340" t="n"/>
      <c r="J743" s="340" t="n"/>
      <c r="K743" s="177" t="n"/>
      <c r="L743" s="174" t="n"/>
      <c r="M743" s="340" t="n"/>
      <c r="N743" s="66" t="n"/>
      <c r="O743" s="169" t="n"/>
      <c r="P743" s="66" t="n"/>
      <c r="Q743" s="66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66" t="n"/>
      <c r="C744" s="108" t="n"/>
      <c r="D744" s="68" t="n"/>
      <c r="E744" s="5" t="n"/>
      <c r="F744" s="178" t="n"/>
      <c r="G744" s="99" t="n"/>
      <c r="H744" s="100" t="n"/>
      <c r="I744" s="91" t="n"/>
      <c r="J744" s="93" t="n"/>
      <c r="K744" s="177" t="n"/>
      <c r="L744" s="174" t="n"/>
      <c r="M744" s="189" t="n"/>
      <c r="N744" s="66" t="n"/>
      <c r="O744" s="169" t="n"/>
      <c r="P744" s="66" t="n"/>
      <c r="Q744" s="66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66" t="n"/>
      <c r="C745" s="108" t="n"/>
      <c r="D745" s="68" t="n"/>
      <c r="E745" s="68" t="n"/>
      <c r="F745" s="178" t="n"/>
      <c r="G745" s="99" t="n"/>
      <c r="H745" s="100" t="n"/>
      <c r="I745" s="91" t="n"/>
      <c r="J745" s="93" t="n"/>
      <c r="K745" s="177" t="n"/>
      <c r="L745" s="174" t="n"/>
      <c r="M745" s="189" t="n"/>
      <c r="N745" s="66" t="n"/>
      <c r="O745" s="169" t="n"/>
      <c r="P745" s="66" t="n"/>
      <c r="Q745" s="66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66" t="n"/>
      <c r="C746" s="108" t="n"/>
      <c r="D746" s="68" t="n"/>
      <c r="E746" s="68" t="n"/>
      <c r="F746" s="68" t="n"/>
      <c r="G746" s="68" t="n"/>
      <c r="H746" s="69" t="n"/>
      <c r="I746" s="70" t="n"/>
      <c r="J746" s="79" t="n"/>
      <c r="K746" s="177" t="n"/>
      <c r="L746" s="174" t="n"/>
      <c r="M746" s="176" t="n"/>
      <c r="N746" s="66" t="n"/>
      <c r="O746" s="169" t="n"/>
      <c r="P746" s="66" t="n"/>
      <c r="Q746" s="66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66" t="n"/>
      <c r="C747" s="108" t="n"/>
      <c r="D747" s="68" t="n"/>
      <c r="E747" s="68" t="n"/>
      <c r="F747" s="340" t="n"/>
      <c r="G747" s="340" t="n"/>
      <c r="H747" s="340" t="n"/>
      <c r="I747" s="340" t="n"/>
      <c r="J747" s="340" t="n"/>
      <c r="K747" s="177" t="n"/>
      <c r="L747" s="174" t="n"/>
      <c r="M747" s="340" t="n"/>
      <c r="N747" s="66" t="n"/>
      <c r="O747" s="169" t="n"/>
      <c r="P747" s="66" t="n"/>
      <c r="Q747" s="66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66" t="n"/>
      <c r="C748" s="108" t="n"/>
      <c r="D748" s="68" t="n"/>
      <c r="E748" s="5" t="n"/>
      <c r="F748" s="178" t="n"/>
      <c r="G748" s="178" t="n"/>
      <c r="H748" s="100" t="n"/>
      <c r="I748" s="91" t="n"/>
      <c r="J748" s="93" t="n"/>
      <c r="K748" s="177" t="n"/>
      <c r="L748" s="174" t="n"/>
      <c r="M748" s="189" t="n"/>
      <c r="N748" s="66" t="n"/>
      <c r="O748" s="169" t="n"/>
      <c r="P748" s="66" t="n"/>
      <c r="Q748" s="66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66" t="n"/>
      <c r="C749" s="108" t="n"/>
      <c r="D749" s="68" t="n"/>
      <c r="E749" s="68" t="n"/>
      <c r="F749" s="178" t="n"/>
      <c r="G749" s="178" t="n"/>
      <c r="H749" s="100" t="n"/>
      <c r="I749" s="91" t="n"/>
      <c r="J749" s="93" t="n"/>
      <c r="K749" s="177" t="n"/>
      <c r="L749" s="174" t="n"/>
      <c r="M749" s="189" t="n"/>
      <c r="N749" s="66" t="n"/>
      <c r="O749" s="169" t="n"/>
      <c r="P749" s="66" t="n"/>
      <c r="Q749" s="66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66" t="n"/>
      <c r="C750" s="108" t="n"/>
      <c r="D750" s="68" t="n"/>
      <c r="E750" s="68" t="n"/>
      <c r="F750" s="178" t="n"/>
      <c r="G750" s="178" t="n"/>
      <c r="H750" s="100" t="n"/>
      <c r="I750" s="91" t="n"/>
      <c r="J750" s="93" t="n"/>
      <c r="K750" s="177" t="n"/>
      <c r="L750" s="174" t="n"/>
      <c r="M750" s="189" t="n"/>
      <c r="N750" s="66" t="n"/>
      <c r="O750" s="169" t="n"/>
      <c r="P750" s="66" t="n"/>
      <c r="Q750" s="66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66" t="n"/>
      <c r="C751" s="108" t="n"/>
      <c r="D751" s="68" t="n"/>
      <c r="E751" s="68" t="n"/>
      <c r="F751" s="68" t="n"/>
      <c r="G751" s="68" t="n"/>
      <c r="H751" s="69" t="n"/>
      <c r="I751" s="70" t="n"/>
      <c r="J751" s="79" t="n"/>
      <c r="K751" s="177" t="n"/>
      <c r="L751" s="174" t="n"/>
      <c r="M751" s="176" t="n"/>
      <c r="N751" s="66" t="n"/>
      <c r="O751" s="169" t="n"/>
      <c r="P751" s="66" t="n"/>
      <c r="Q751" s="66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66" t="n"/>
      <c r="C752" s="108" t="n"/>
      <c r="D752" s="68" t="n"/>
      <c r="E752" s="68" t="n"/>
      <c r="F752" s="340" t="n"/>
      <c r="G752" s="340" t="n"/>
      <c r="H752" s="340" t="n"/>
      <c r="I752" s="340" t="n"/>
      <c r="J752" s="340" t="n"/>
      <c r="K752" s="177" t="n"/>
      <c r="L752" s="174" t="n"/>
      <c r="M752" s="340" t="n"/>
      <c r="N752" s="66" t="n"/>
      <c r="O752" s="169" t="n"/>
      <c r="P752" s="66" t="n"/>
      <c r="Q752" s="66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66" t="n"/>
      <c r="C753" s="108" t="n"/>
      <c r="D753" s="68" t="n"/>
      <c r="E753" s="68" t="n"/>
      <c r="F753" s="68" t="n"/>
      <c r="G753" s="68" t="n"/>
      <c r="H753" s="69" t="n"/>
      <c r="I753" s="70" t="n"/>
      <c r="J753" s="79" t="n"/>
      <c r="K753" s="177" t="n"/>
      <c r="L753" s="174" t="n"/>
      <c r="M753" s="176" t="n"/>
      <c r="N753" s="66" t="n"/>
      <c r="O753" s="169" t="n"/>
      <c r="P753" s="66" t="n"/>
      <c r="Q753" s="66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66" t="n"/>
      <c r="C754" s="108" t="n"/>
      <c r="D754" s="68" t="n"/>
      <c r="E754" s="68" t="n"/>
      <c r="F754" s="340" t="n"/>
      <c r="G754" s="340" t="n"/>
      <c r="H754" s="340" t="n"/>
      <c r="I754" s="340" t="n"/>
      <c r="J754" s="340" t="n"/>
      <c r="K754" s="177" t="n"/>
      <c r="L754" s="174" t="n"/>
      <c r="M754" s="340" t="n"/>
      <c r="N754" s="66" t="n"/>
      <c r="O754" s="169" t="n"/>
      <c r="P754" s="66" t="n"/>
      <c r="Q754" s="66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66" t="n"/>
      <c r="C755" s="108" t="n"/>
      <c r="D755" s="68" t="n"/>
      <c r="E755" s="68" t="n"/>
      <c r="F755" s="178" t="n"/>
      <c r="G755" s="178" t="n"/>
      <c r="H755" s="100" t="n"/>
      <c r="I755" s="91" t="n"/>
      <c r="J755" s="93" t="n"/>
      <c r="K755" s="177" t="n"/>
      <c r="L755" s="174" t="n"/>
      <c r="M755" s="189" t="n"/>
      <c r="N755" s="66" t="n"/>
      <c r="O755" s="169" t="n"/>
      <c r="P755" s="66" t="n"/>
      <c r="Q755" s="66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66" t="n"/>
      <c r="C756" s="108" t="n"/>
      <c r="D756" s="68" t="n"/>
      <c r="E756" s="68" t="n"/>
      <c r="F756" s="178" t="n"/>
      <c r="G756" s="178" t="n"/>
      <c r="H756" s="100" t="n"/>
      <c r="I756" s="91" t="n"/>
      <c r="J756" s="93" t="n"/>
      <c r="K756" s="177" t="n"/>
      <c r="L756" s="174" t="n"/>
      <c r="M756" s="189" t="n"/>
      <c r="N756" s="66" t="n"/>
      <c r="O756" s="169" t="n"/>
      <c r="P756" s="66" t="n"/>
      <c r="Q756" s="66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66" t="n"/>
      <c r="C757" s="108" t="n"/>
      <c r="D757" s="68" t="n"/>
      <c r="E757" s="68" t="n"/>
      <c r="F757" s="213" t="n"/>
      <c r="G757" s="213" t="n"/>
      <c r="H757" s="119" t="n"/>
      <c r="I757" s="120" t="n"/>
      <c r="J757" s="121" t="n"/>
      <c r="K757" s="177" t="n"/>
      <c r="L757" s="174" t="n"/>
      <c r="M757" s="194" t="n"/>
      <c r="N757" s="66" t="n"/>
      <c r="O757" s="169" t="n"/>
      <c r="P757" s="66" t="n"/>
      <c r="Q757" s="66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66" t="n"/>
      <c r="C758" s="108" t="n"/>
      <c r="D758" s="68" t="n"/>
      <c r="E758" s="68" t="n"/>
      <c r="F758" s="68" t="n"/>
      <c r="G758" s="68" t="n"/>
      <c r="H758" s="69" t="n"/>
      <c r="I758" s="70" t="n"/>
      <c r="J758" s="79" t="n"/>
      <c r="K758" s="177" t="n"/>
      <c r="L758" s="174" t="n"/>
      <c r="M758" s="176" t="n"/>
      <c r="N758" s="66" t="n"/>
      <c r="O758" s="169" t="n"/>
      <c r="P758" s="66" t="n"/>
      <c r="Q758" s="66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66" t="n"/>
      <c r="C759" s="108" t="n"/>
      <c r="D759" s="68" t="n"/>
      <c r="E759" s="68" t="n"/>
      <c r="F759" s="340" t="n"/>
      <c r="G759" s="340" t="n"/>
      <c r="H759" s="340" t="n"/>
      <c r="I759" s="340" t="n"/>
      <c r="J759" s="340" t="n"/>
      <c r="K759" s="177" t="n"/>
      <c r="L759" s="174" t="n"/>
      <c r="M759" s="340" t="n"/>
      <c r="N759" s="66" t="n"/>
      <c r="O759" s="169" t="n"/>
      <c r="P759" s="66" t="n"/>
      <c r="Q759" s="66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66" t="n"/>
      <c r="C760" s="108" t="n"/>
      <c r="D760" s="68" t="n"/>
      <c r="E760" s="68" t="n"/>
      <c r="F760" s="68" t="n"/>
      <c r="G760" s="68" t="n"/>
      <c r="H760" s="69" t="n"/>
      <c r="I760" s="70" t="n"/>
      <c r="J760" s="79" t="n"/>
      <c r="K760" s="177" t="n"/>
      <c r="L760" s="174" t="n"/>
      <c r="M760" s="176" t="n"/>
      <c r="N760" s="66" t="n"/>
      <c r="O760" s="169" t="n"/>
      <c r="P760" s="66" t="n"/>
      <c r="Q760" s="66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66" t="n"/>
      <c r="C761" s="108" t="n"/>
      <c r="D761" s="68" t="n"/>
      <c r="E761" s="68" t="n"/>
      <c r="F761" s="340" t="n"/>
      <c r="G761" s="340" t="n"/>
      <c r="H761" s="340" t="n"/>
      <c r="I761" s="340" t="n"/>
      <c r="J761" s="340" t="n"/>
      <c r="K761" s="177" t="n"/>
      <c r="L761" s="174" t="n"/>
      <c r="M761" s="340" t="n"/>
      <c r="N761" s="66" t="n"/>
      <c r="O761" s="169" t="n"/>
      <c r="P761" s="66" t="n"/>
      <c r="Q761" s="66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66" t="n"/>
      <c r="C762" s="108" t="n"/>
      <c r="D762" s="68" t="n"/>
      <c r="E762" s="68" t="n"/>
      <c r="F762" s="178" t="n"/>
      <c r="G762" s="178" t="n"/>
      <c r="H762" s="100" t="n"/>
      <c r="I762" s="91" t="n"/>
      <c r="J762" s="93" t="n"/>
      <c r="K762" s="177" t="n"/>
      <c r="L762" s="174" t="n"/>
      <c r="M762" s="189" t="n"/>
      <c r="N762" s="66" t="n"/>
      <c r="O762" s="169" t="n"/>
      <c r="P762" s="66" t="n"/>
      <c r="Q762" s="66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66" t="n"/>
      <c r="C763" s="108" t="n"/>
      <c r="D763" s="68" t="n"/>
      <c r="E763" s="68" t="n"/>
      <c r="F763" s="178" t="n"/>
      <c r="G763" s="178" t="n"/>
      <c r="H763" s="100" t="n"/>
      <c r="I763" s="91" t="n"/>
      <c r="J763" s="93" t="n"/>
      <c r="K763" s="177" t="n"/>
      <c r="L763" s="174" t="n"/>
      <c r="M763" s="189" t="n"/>
      <c r="N763" s="66" t="n"/>
      <c r="O763" s="169" t="n"/>
      <c r="P763" s="66" t="n"/>
      <c r="Q763" s="66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66" t="n"/>
      <c r="C764" s="108" t="n"/>
      <c r="D764" s="68" t="n"/>
      <c r="E764" s="68" t="n"/>
      <c r="F764" s="178" t="n"/>
      <c r="G764" s="178" t="n"/>
      <c r="H764" s="100" t="n"/>
      <c r="I764" s="91" t="n"/>
      <c r="J764" s="93" t="n"/>
      <c r="K764" s="177" t="n"/>
      <c r="L764" s="174" t="n"/>
      <c r="M764" s="189" t="n"/>
      <c r="N764" s="66" t="n"/>
      <c r="O764" s="169" t="n"/>
      <c r="P764" s="66" t="n"/>
      <c r="Q764" s="66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66" t="n"/>
      <c r="C765" s="108" t="n"/>
      <c r="D765" s="68" t="n"/>
      <c r="E765" s="68" t="n"/>
      <c r="F765" s="178" t="n"/>
      <c r="G765" s="178" t="n"/>
      <c r="H765" s="100" t="n"/>
      <c r="I765" s="91" t="n"/>
      <c r="J765" s="93" t="n"/>
      <c r="K765" s="177" t="n"/>
      <c r="L765" s="174" t="n"/>
      <c r="M765" s="189" t="n"/>
      <c r="N765" s="66" t="n"/>
      <c r="O765" s="169" t="n"/>
      <c r="P765" s="66" t="n"/>
      <c r="Q765" s="66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66" t="n"/>
      <c r="C766" s="108" t="n"/>
      <c r="D766" s="68" t="n"/>
      <c r="E766" s="68" t="n"/>
      <c r="F766" s="68" t="n"/>
      <c r="G766" s="68" t="n"/>
      <c r="H766" s="69" t="n"/>
      <c r="I766" s="70" t="n"/>
      <c r="J766" s="79" t="n"/>
      <c r="K766" s="177" t="n"/>
      <c r="L766" s="174" t="n"/>
      <c r="M766" s="176" t="n"/>
      <c r="N766" s="66" t="n"/>
      <c r="O766" s="169" t="n"/>
      <c r="P766" s="66" t="n"/>
      <c r="Q766" s="66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66" t="n"/>
      <c r="C767" s="108" t="n"/>
      <c r="D767" s="68" t="n"/>
      <c r="E767" s="68" t="n"/>
      <c r="F767" s="340" t="n"/>
      <c r="G767" s="340" t="n"/>
      <c r="H767" s="340" t="n"/>
      <c r="I767" s="340" t="n"/>
      <c r="J767" s="340" t="n"/>
      <c r="K767" s="177" t="n"/>
      <c r="L767" s="174" t="n"/>
      <c r="M767" s="340" t="n"/>
      <c r="N767" s="66" t="n"/>
      <c r="O767" s="169" t="n"/>
      <c r="P767" s="66" t="n"/>
      <c r="Q767" s="66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66" t="n"/>
      <c r="C768" s="108" t="n"/>
      <c r="D768" s="68" t="n"/>
      <c r="E768" s="68" t="n"/>
      <c r="F768" s="178" t="n"/>
      <c r="G768" s="178" t="n"/>
      <c r="H768" s="100" t="n"/>
      <c r="I768" s="91" t="n"/>
      <c r="J768" s="93" t="n"/>
      <c r="K768" s="177" t="n"/>
      <c r="L768" s="174" t="n"/>
      <c r="M768" s="189" t="n"/>
      <c r="N768" s="66" t="n"/>
      <c r="O768" s="169" t="n"/>
      <c r="P768" s="66" t="n"/>
      <c r="Q768" s="66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66" t="n"/>
      <c r="C769" s="108" t="n"/>
      <c r="D769" s="68" t="n"/>
      <c r="E769" s="68" t="n"/>
      <c r="F769" s="178" t="n"/>
      <c r="G769" s="178" t="n"/>
      <c r="H769" s="100" t="n"/>
      <c r="I769" s="91" t="n"/>
      <c r="J769" s="93" t="n"/>
      <c r="K769" s="177" t="n"/>
      <c r="L769" s="174" t="n"/>
      <c r="M769" s="189" t="n"/>
      <c r="N769" s="66" t="n"/>
      <c r="O769" s="169" t="n"/>
      <c r="P769" s="66" t="n"/>
      <c r="Q769" s="66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66" t="n"/>
      <c r="C770" s="108" t="n"/>
      <c r="D770" s="68" t="n"/>
      <c r="E770" s="68" t="n"/>
      <c r="F770" s="68" t="n"/>
      <c r="G770" s="68" t="n"/>
      <c r="H770" s="69" t="n"/>
      <c r="I770" s="70" t="n"/>
      <c r="J770" s="79" t="n"/>
      <c r="K770" s="177" t="n"/>
      <c r="L770" s="174" t="n"/>
      <c r="M770" s="176" t="n"/>
      <c r="N770" s="66" t="n"/>
      <c r="O770" s="169" t="n"/>
      <c r="P770" s="66" t="n"/>
      <c r="Q770" s="66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66" t="n"/>
      <c r="C771" s="108" t="n"/>
      <c r="D771" s="68" t="n"/>
      <c r="E771" s="68" t="n"/>
      <c r="F771" s="343" t="n"/>
      <c r="G771" s="343" t="n"/>
      <c r="H771" s="343" t="n"/>
      <c r="I771" s="343" t="n"/>
      <c r="J771" s="343" t="n"/>
      <c r="K771" s="177" t="n"/>
      <c r="L771" s="174" t="n"/>
      <c r="M771" s="343" t="n"/>
      <c r="N771" s="66" t="n"/>
      <c r="O771" s="169" t="n"/>
      <c r="P771" s="66" t="n"/>
      <c r="Q771" s="66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66" t="n"/>
      <c r="C772" s="108" t="n"/>
      <c r="D772" s="68" t="n"/>
      <c r="E772" s="68" t="n"/>
      <c r="F772" s="343" t="n"/>
      <c r="G772" s="343" t="n"/>
      <c r="H772" s="343" t="n"/>
      <c r="I772" s="343" t="n"/>
      <c r="J772" s="343" t="n"/>
      <c r="K772" s="177" t="n"/>
      <c r="L772" s="174" t="n"/>
      <c r="M772" s="343" t="n"/>
      <c r="N772" s="66" t="n"/>
      <c r="O772" s="169" t="n"/>
      <c r="P772" s="66" t="n"/>
      <c r="Q772" s="66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66" t="n"/>
      <c r="C773" s="108" t="n"/>
      <c r="D773" s="68" t="n"/>
      <c r="E773" s="68" t="n"/>
      <c r="F773" s="340" t="n"/>
      <c r="G773" s="340" t="n"/>
      <c r="H773" s="340" t="n"/>
      <c r="I773" s="340" t="n"/>
      <c r="J773" s="340" t="n"/>
      <c r="K773" s="177" t="n"/>
      <c r="L773" s="174" t="n"/>
      <c r="M773" s="340" t="n"/>
      <c r="N773" s="66" t="n"/>
      <c r="O773" s="169" t="n"/>
      <c r="P773" s="66" t="n"/>
      <c r="Q773" s="66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66" t="n"/>
      <c r="C774" s="108" t="n"/>
      <c r="D774" s="68" t="n"/>
      <c r="E774" s="68" t="n"/>
      <c r="F774" s="178" t="n"/>
      <c r="G774" s="178" t="n"/>
      <c r="H774" s="100" t="n"/>
      <c r="I774" s="91" t="n"/>
      <c r="J774" s="93" t="n"/>
      <c r="K774" s="177" t="n"/>
      <c r="L774" s="174" t="n"/>
      <c r="M774" s="189" t="n"/>
      <c r="N774" s="66" t="n"/>
      <c r="O774" s="169" t="n"/>
      <c r="P774" s="66" t="n"/>
      <c r="Q774" s="66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66" t="n"/>
      <c r="C775" s="108" t="n"/>
      <c r="D775" s="68" t="n"/>
      <c r="E775" s="68" t="n"/>
      <c r="F775" s="178" t="n"/>
      <c r="G775" s="178" t="n"/>
      <c r="H775" s="100" t="n"/>
      <c r="I775" s="91" t="n"/>
      <c r="J775" s="93" t="n"/>
      <c r="K775" s="177" t="n"/>
      <c r="L775" s="174" t="n"/>
      <c r="M775" s="189" t="n"/>
      <c r="N775" s="66" t="n"/>
      <c r="O775" s="169" t="n"/>
      <c r="P775" s="66" t="n"/>
      <c r="Q775" s="66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66" t="n"/>
      <c r="C776" s="108" t="n"/>
      <c r="D776" s="68" t="n"/>
      <c r="E776" s="68" t="n"/>
      <c r="F776" s="68" t="n"/>
      <c r="G776" s="68" t="n"/>
      <c r="H776" s="69" t="n"/>
      <c r="I776" s="70" t="n"/>
      <c r="J776" s="79" t="n"/>
      <c r="K776" s="177" t="n"/>
      <c r="L776" s="174" t="n"/>
      <c r="M776" s="176" t="n"/>
      <c r="N776" s="66" t="n"/>
      <c r="O776" s="169" t="n"/>
      <c r="P776" s="66" t="n"/>
      <c r="Q776" s="66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66" t="n"/>
      <c r="C777" s="108" t="n"/>
      <c r="D777" s="68" t="n"/>
      <c r="E777" s="68" t="n"/>
      <c r="F777" s="340" t="n"/>
      <c r="G777" s="340" t="n"/>
      <c r="H777" s="340" t="n"/>
      <c r="I777" s="340" t="n"/>
      <c r="J777" s="340" t="n"/>
      <c r="K777" s="177" t="n"/>
      <c r="L777" s="174" t="n"/>
      <c r="M777" s="340" t="n"/>
      <c r="N777" s="66" t="n"/>
      <c r="O777" s="169" t="n"/>
      <c r="P777" s="66" t="n"/>
      <c r="Q777" s="66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66" t="n"/>
      <c r="C778" s="108" t="n"/>
      <c r="D778" s="68" t="n"/>
      <c r="E778" s="68" t="n"/>
      <c r="F778" s="178" t="n"/>
      <c r="G778" s="178" t="n"/>
      <c r="H778" s="100" t="n"/>
      <c r="I778" s="91" t="n"/>
      <c r="J778" s="93" t="n"/>
      <c r="K778" s="177" t="n"/>
      <c r="L778" s="174" t="n"/>
      <c r="M778" s="189" t="n"/>
      <c r="N778" s="66" t="n"/>
      <c r="O778" s="169" t="n"/>
      <c r="P778" s="66" t="n"/>
      <c r="Q778" s="66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66" t="n"/>
      <c r="C779" s="108" t="n"/>
      <c r="D779" s="68" t="n"/>
      <c r="E779" s="68" t="n"/>
      <c r="F779" s="178" t="n"/>
      <c r="G779" s="178" t="n"/>
      <c r="H779" s="100" t="n"/>
      <c r="I779" s="91" t="n"/>
      <c r="J779" s="93" t="n"/>
      <c r="K779" s="177" t="n"/>
      <c r="L779" s="174" t="n"/>
      <c r="M779" s="189" t="n"/>
      <c r="N779" s="66" t="n"/>
      <c r="O779" s="169" t="n"/>
      <c r="P779" s="66" t="n"/>
      <c r="Q779" s="66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66" t="n"/>
      <c r="C780" s="108" t="n"/>
      <c r="D780" s="68" t="n"/>
      <c r="E780" s="68" t="n"/>
      <c r="F780" s="178" t="n"/>
      <c r="G780" s="178" t="n"/>
      <c r="H780" s="100" t="n"/>
      <c r="I780" s="91" t="n"/>
      <c r="J780" s="93" t="n"/>
      <c r="K780" s="177" t="n"/>
      <c r="L780" s="174" t="n"/>
      <c r="M780" s="189" t="n"/>
      <c r="N780" s="66" t="n"/>
      <c r="O780" s="169" t="n"/>
      <c r="P780" s="66" t="n"/>
      <c r="Q780" s="66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66" t="n"/>
      <c r="C781" s="66" t="n"/>
      <c r="D781" s="66" t="n"/>
      <c r="E781" s="151" t="n"/>
      <c r="F781" s="151" t="n"/>
      <c r="G781" s="151" t="n"/>
      <c r="H781" s="151" t="n"/>
      <c r="I781" s="66" t="n"/>
      <c r="J781" s="66" t="n"/>
      <c r="K781" s="66" t="n"/>
      <c r="L781" s="315" t="n"/>
      <c r="M781" s="66" t="n"/>
      <c r="N781" s="66" t="n"/>
      <c r="O781" s="316" t="n"/>
      <c r="P781" s="66" t="n"/>
      <c r="Q781" s="66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28" t="n"/>
      <c r="H782" s="28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28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28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autoFilter ref="$B$3:$P$783"/>
  <mergeCells count="893">
    <mergeCell ref="M751:M752"/>
    <mergeCell ref="E558:E559"/>
    <mergeCell ref="P66:P68"/>
    <mergeCell ref="H600:H601"/>
    <mergeCell ref="M530:M531"/>
    <mergeCell ref="J358:J359"/>
    <mergeCell ref="H127:H128"/>
    <mergeCell ref="H394:H395"/>
    <mergeCell ref="G533:G534"/>
    <mergeCell ref="J127:J128"/>
    <mergeCell ref="J389:J391"/>
    <mergeCell ref="M753:M754"/>
    <mergeCell ref="M486:M488"/>
    <mergeCell ref="H191:H192"/>
    <mergeCell ref="J191:J192"/>
    <mergeCell ref="M448:M449"/>
    <mergeCell ref="I657:I658"/>
    <mergeCell ref="O56:O57"/>
    <mergeCell ref="I121:I122"/>
    <mergeCell ref="G363:G364"/>
    <mergeCell ref="J516:J517"/>
    <mergeCell ref="G466:G469"/>
    <mergeCell ref="L516:L517"/>
    <mergeCell ref="I466:I469"/>
    <mergeCell ref="I58:I59"/>
    <mergeCell ref="L119:L120"/>
    <mergeCell ref="N48:N49"/>
    <mergeCell ref="K58:K59"/>
    <mergeCell ref="N119:N120"/>
    <mergeCell ref="P48:P49"/>
    <mergeCell ref="O85:O86"/>
    <mergeCell ref="I123:I124"/>
    <mergeCell ref="I680:I683"/>
    <mergeCell ref="F718:F719"/>
    <mergeCell ref="M350:M351"/>
    <mergeCell ref="H718:H719"/>
    <mergeCell ref="I579:I580"/>
    <mergeCell ref="I358:I359"/>
    <mergeCell ref="K116:K117"/>
    <mergeCell ref="G423:G424"/>
    <mergeCell ref="M116:M117"/>
    <mergeCell ref="I423:I424"/>
    <mergeCell ref="M303:M304"/>
    <mergeCell ref="M148:M152"/>
    <mergeCell ref="G675:G676"/>
    <mergeCell ref="M644:M646"/>
    <mergeCell ref="H374:H376"/>
    <mergeCell ref="M612:M613"/>
    <mergeCell ref="J384:J386"/>
    <mergeCell ref="O103:O105"/>
    <mergeCell ref="M332:M333"/>
    <mergeCell ref="G612:G613"/>
    <mergeCell ref="H121:H122"/>
    <mergeCell ref="M111:M112"/>
    <mergeCell ref="O111:O112"/>
    <mergeCell ref="J413:J415"/>
    <mergeCell ref="F705:F707"/>
    <mergeCell ref="I218:I219"/>
    <mergeCell ref="M492:M493"/>
    <mergeCell ref="I411:I412"/>
    <mergeCell ref="I215:I216"/>
    <mergeCell ref="H341:H342"/>
    <mergeCell ref="I500:I501"/>
    <mergeCell ref="L148:L152"/>
    <mergeCell ref="F675:F676"/>
    <mergeCell ref="F504:F505"/>
    <mergeCell ref="M258:M259"/>
    <mergeCell ref="G524:G525"/>
    <mergeCell ref="N107:N108"/>
    <mergeCell ref="I282:I283"/>
    <mergeCell ref="H489:H491"/>
    <mergeCell ref="P107:P108"/>
    <mergeCell ref="J489:J491"/>
    <mergeCell ref="M233:M234"/>
    <mergeCell ref="P101:P102"/>
    <mergeCell ref="F560:F562"/>
    <mergeCell ref="H408:H409"/>
    <mergeCell ref="M71:M73"/>
    <mergeCell ref="H560:H562"/>
    <mergeCell ref="J101:J102"/>
    <mergeCell ref="I48:I49"/>
    <mergeCell ref="H497:H498"/>
    <mergeCell ref="K48:K49"/>
    <mergeCell ref="J497:J498"/>
    <mergeCell ref="M558:M559"/>
    <mergeCell ref="J758:J759"/>
    <mergeCell ref="M406:M407"/>
    <mergeCell ref="M533:M534"/>
    <mergeCell ref="H708:H709"/>
    <mergeCell ref="O148:O152"/>
    <mergeCell ref="F766:F767"/>
    <mergeCell ref="H695:H696"/>
    <mergeCell ref="J397:J399"/>
    <mergeCell ref="H766:H767"/>
    <mergeCell ref="J524:J525"/>
    <mergeCell ref="J695:J696"/>
    <mergeCell ref="J238:J239"/>
    <mergeCell ref="M404:M405"/>
    <mergeCell ref="G600:G601"/>
    <mergeCell ref="G404:G405"/>
    <mergeCell ref="L92:L94"/>
    <mergeCell ref="I600:I601"/>
    <mergeCell ref="G665:G666"/>
    <mergeCell ref="N92:N94"/>
    <mergeCell ref="I389:I391"/>
    <mergeCell ref="F530:F531"/>
    <mergeCell ref="J753:J754"/>
    <mergeCell ref="F555:F556"/>
    <mergeCell ref="J486:J488"/>
    <mergeCell ref="H332:H333"/>
    <mergeCell ref="I220:I222"/>
    <mergeCell ref="F728:F729"/>
    <mergeCell ref="G489:G491"/>
    <mergeCell ref="K220:K222"/>
    <mergeCell ref="O101:O102"/>
    <mergeCell ref="N56:N57"/>
    <mergeCell ref="P56:P57"/>
    <mergeCell ref="H363:H364"/>
    <mergeCell ref="H56:H57"/>
    <mergeCell ref="G758:G759"/>
    <mergeCell ref="I691:I693"/>
    <mergeCell ref="H58:H59"/>
    <mergeCell ref="I361:I362"/>
    <mergeCell ref="O83:O84"/>
    <mergeCell ref="K119:K120"/>
    <mergeCell ref="H62:H64"/>
    <mergeCell ref="M119:M120"/>
    <mergeCell ref="H123:H124"/>
    <mergeCell ref="J123:J124"/>
    <mergeCell ref="M417:M418"/>
    <mergeCell ref="H614:H615"/>
    <mergeCell ref="J614:J615"/>
    <mergeCell ref="J408:J409"/>
    <mergeCell ref="J95:J96"/>
    <mergeCell ref="H377:H379"/>
    <mergeCell ref="J89:J90"/>
    <mergeCell ref="M183:M184"/>
    <mergeCell ref="H358:H359"/>
    <mergeCell ref="L89:L90"/>
    <mergeCell ref="J377:J379"/>
    <mergeCell ref="F665:F666"/>
    <mergeCell ref="M248:M249"/>
    <mergeCell ref="M419:M420"/>
    <mergeCell ref="H423:H424"/>
    <mergeCell ref="J423:J424"/>
    <mergeCell ref="E555:E556"/>
    <mergeCell ref="G555:G556"/>
    <mergeCell ref="I742:I743"/>
    <mergeCell ref="J708:J709"/>
    <mergeCell ref="J311:J312"/>
    <mergeCell ref="I79:I80"/>
    <mergeCell ref="L69:L70"/>
    <mergeCell ref="N69:N70"/>
    <mergeCell ref="I384:I386"/>
    <mergeCell ref="G728:G729"/>
    <mergeCell ref="F270:F271"/>
    <mergeCell ref="H568:H569"/>
    <mergeCell ref="J545:J547"/>
    <mergeCell ref="I684:I686"/>
    <mergeCell ref="G323:G325"/>
    <mergeCell ref="K218:K219"/>
    <mergeCell ref="I323:I325"/>
    <mergeCell ref="I516:I517"/>
    <mergeCell ref="I89:I90"/>
    <mergeCell ref="H411:H412"/>
    <mergeCell ref="H215:H216"/>
    <mergeCell ref="P75:P77"/>
    <mergeCell ref="J215:J216"/>
    <mergeCell ref="G760:G761"/>
    <mergeCell ref="H466:H469"/>
    <mergeCell ref="M443:M445"/>
    <mergeCell ref="P62:P64"/>
    <mergeCell ref="H336:H338"/>
    <mergeCell ref="J258:J259"/>
    <mergeCell ref="M66:M68"/>
    <mergeCell ref="F742:F743"/>
    <mergeCell ref="H500:H501"/>
    <mergeCell ref="J500:J501"/>
    <mergeCell ref="M107:M108"/>
    <mergeCell ref="G504:G505"/>
    <mergeCell ref="O107:O108"/>
    <mergeCell ref="G560:G562"/>
    <mergeCell ref="G568:G569"/>
    <mergeCell ref="I697:I699"/>
    <mergeCell ref="G245:G246"/>
    <mergeCell ref="J604:J605"/>
    <mergeCell ref="I397:I399"/>
    <mergeCell ref="G766:G767"/>
    <mergeCell ref="I524:I525"/>
    <mergeCell ref="I211:I212"/>
    <mergeCell ref="I238:I239"/>
    <mergeCell ref="F600:F601"/>
    <mergeCell ref="L97:L99"/>
    <mergeCell ref="K92:K94"/>
    <mergeCell ref="N97:N99"/>
    <mergeCell ref="H404:H405"/>
    <mergeCell ref="M92:M94"/>
    <mergeCell ref="E530:E531"/>
    <mergeCell ref="H665:H666"/>
    <mergeCell ref="I770:I773"/>
    <mergeCell ref="I69:I70"/>
    <mergeCell ref="K69:K70"/>
    <mergeCell ref="P121:P122"/>
    <mergeCell ref="H170:H171"/>
    <mergeCell ref="I669:I670"/>
    <mergeCell ref="M256:M257"/>
    <mergeCell ref="H220:H222"/>
    <mergeCell ref="M287:M289"/>
    <mergeCell ref="J220:J222"/>
    <mergeCell ref="P58:P59"/>
    <mergeCell ref="P123:P124"/>
    <mergeCell ref="M56:M57"/>
    <mergeCell ref="M127:M128"/>
    <mergeCell ref="H495:H496"/>
    <mergeCell ref="I527:I528"/>
    <mergeCell ref="J495:J496"/>
    <mergeCell ref="J411:J412"/>
    <mergeCell ref="J691:J693"/>
    <mergeCell ref="J361:J362"/>
    <mergeCell ref="I614:I615"/>
    <mergeCell ref="I95:I96"/>
    <mergeCell ref="M766:M767"/>
    <mergeCell ref="N85:N86"/>
    <mergeCell ref="L83:L84"/>
    <mergeCell ref="K89:K90"/>
    <mergeCell ref="G258:G259"/>
    <mergeCell ref="I258:I259"/>
    <mergeCell ref="J75:J77"/>
    <mergeCell ref="H742:H743"/>
    <mergeCell ref="M672:M673"/>
    <mergeCell ref="G443:G445"/>
    <mergeCell ref="H79:H80"/>
    <mergeCell ref="H350:H351"/>
    <mergeCell ref="I382:I383"/>
    <mergeCell ref="H384:H386"/>
    <mergeCell ref="I509:I510"/>
    <mergeCell ref="M311:M312"/>
    <mergeCell ref="M451:M453"/>
    <mergeCell ref="H45:H46"/>
    <mergeCell ref="J45:J46"/>
    <mergeCell ref="H585:H586"/>
    <mergeCell ref="L45:L46"/>
    <mergeCell ref="G347:G349"/>
    <mergeCell ref="M440:M441"/>
    <mergeCell ref="G776:G777"/>
    <mergeCell ref="P218:P219"/>
    <mergeCell ref="J644:J646"/>
    <mergeCell ref="H218:H219"/>
    <mergeCell ref="J280:J281"/>
    <mergeCell ref="E545:E547"/>
    <mergeCell ref="J218:J219"/>
    <mergeCell ref="H323:H325"/>
    <mergeCell ref="G570:G571"/>
    <mergeCell ref="L103:L105"/>
    <mergeCell ref="H574:H575"/>
    <mergeCell ref="J332:J333"/>
    <mergeCell ref="M504:M505"/>
    <mergeCell ref="H356:H357"/>
    <mergeCell ref="J356:J357"/>
    <mergeCell ref="J111:J112"/>
    <mergeCell ref="L111:L112"/>
    <mergeCell ref="M715:M716"/>
    <mergeCell ref="F760:F761"/>
    <mergeCell ref="G715:G716"/>
    <mergeCell ref="I336:I338"/>
    <mergeCell ref="G705:G707"/>
    <mergeCell ref="I705:I707"/>
    <mergeCell ref="M280:M281"/>
    <mergeCell ref="I758:I759"/>
    <mergeCell ref="H389:H391"/>
    <mergeCell ref="G344:G346"/>
    <mergeCell ref="I733:I734"/>
    <mergeCell ref="I344:I346"/>
    <mergeCell ref="K95:K96"/>
    <mergeCell ref="I45:I46"/>
    <mergeCell ref="J697:J699"/>
    <mergeCell ref="M270:M271"/>
    <mergeCell ref="I85:I86"/>
    <mergeCell ref="M604:M605"/>
    <mergeCell ref="M555:M556"/>
    <mergeCell ref="H211:H212"/>
    <mergeCell ref="H71:H73"/>
    <mergeCell ref="J71:J73"/>
    <mergeCell ref="M570:M571"/>
    <mergeCell ref="H300:H301"/>
    <mergeCell ref="K97:K99"/>
    <mergeCell ref="M687:M689"/>
    <mergeCell ref="J300:J301"/>
    <mergeCell ref="M97:M99"/>
    <mergeCell ref="M728:M729"/>
    <mergeCell ref="H69:H70"/>
    <mergeCell ref="J585:J586"/>
    <mergeCell ref="H669:H670"/>
    <mergeCell ref="M428:M429"/>
    <mergeCell ref="J256:J257"/>
    <mergeCell ref="F721:F727"/>
    <mergeCell ref="J669:J670"/>
    <mergeCell ref="G708:G709"/>
    <mergeCell ref="G428:G429"/>
    <mergeCell ref="H277:H278"/>
    <mergeCell ref="G751:G752"/>
    <mergeCell ref="I413:I415"/>
    <mergeCell ref="I751:I752"/>
    <mergeCell ref="O123:O124"/>
    <mergeCell ref="L66:L68"/>
    <mergeCell ref="N66:N68"/>
    <mergeCell ref="G495:G496"/>
    <mergeCell ref="J733:J734"/>
    <mergeCell ref="G737:G738"/>
    <mergeCell ref="I530:I531"/>
    <mergeCell ref="I753:I754"/>
    <mergeCell ref="G261:G262"/>
    <mergeCell ref="L191:L192"/>
    <mergeCell ref="I261:I262"/>
    <mergeCell ref="I448:I449"/>
    <mergeCell ref="H95:H96"/>
    <mergeCell ref="M746:M747"/>
    <mergeCell ref="J574:J575"/>
    <mergeCell ref="N79:N80"/>
    <mergeCell ref="P79:P80"/>
    <mergeCell ref="K83:K84"/>
    <mergeCell ref="H524:H525"/>
    <mergeCell ref="M83:M84"/>
    <mergeCell ref="H280:H281"/>
    <mergeCell ref="H516:H517"/>
    <mergeCell ref="M568:M569"/>
    <mergeCell ref="J638:J639"/>
    <mergeCell ref="J48:J49"/>
    <mergeCell ref="I256:I257"/>
    <mergeCell ref="L48:L49"/>
    <mergeCell ref="K85:K86"/>
    <mergeCell ref="G680:G683"/>
    <mergeCell ref="G350:G351"/>
    <mergeCell ref="H382:H383"/>
    <mergeCell ref="J451:J453"/>
    <mergeCell ref="J211:J212"/>
    <mergeCell ref="I350:I351"/>
    <mergeCell ref="J382:J383"/>
    <mergeCell ref="H751:H752"/>
    <mergeCell ref="J509:J510"/>
    <mergeCell ref="G579:G580"/>
    <mergeCell ref="M377:M379"/>
    <mergeCell ref="J687:J689"/>
    <mergeCell ref="J459:J460"/>
    <mergeCell ref="I116:I117"/>
    <mergeCell ref="K45:K46"/>
    <mergeCell ref="J770:J773"/>
    <mergeCell ref="J440:J441"/>
    <mergeCell ref="I148:I152"/>
    <mergeCell ref="F776:F777"/>
    <mergeCell ref="G644:G646"/>
    <mergeCell ref="K148:K152"/>
    <mergeCell ref="H776:H777"/>
    <mergeCell ref="I644:I646"/>
    <mergeCell ref="L114:L115"/>
    <mergeCell ref="J657:J658"/>
    <mergeCell ref="H448:H449"/>
    <mergeCell ref="K103:K105"/>
    <mergeCell ref="G574:G575"/>
    <mergeCell ref="I332:I333"/>
    <mergeCell ref="M103:M105"/>
    <mergeCell ref="I574:I575"/>
    <mergeCell ref="M401:M403"/>
    <mergeCell ref="I111:I112"/>
    <mergeCell ref="M459:M460"/>
    <mergeCell ref="K111:K112"/>
    <mergeCell ref="F715:F716"/>
    <mergeCell ref="H413:H415"/>
    <mergeCell ref="H715:H716"/>
    <mergeCell ref="H705:H707"/>
    <mergeCell ref="M657:M658"/>
    <mergeCell ref="H758:H759"/>
    <mergeCell ref="H344:H346"/>
    <mergeCell ref="G492:G493"/>
    <mergeCell ref="I492:I493"/>
    <mergeCell ref="J341:J342"/>
    <mergeCell ref="G411:G412"/>
    <mergeCell ref="H303:H304"/>
    <mergeCell ref="M500:M501"/>
    <mergeCell ref="J303:J304"/>
    <mergeCell ref="J626:J627"/>
    <mergeCell ref="H148:H152"/>
    <mergeCell ref="H644:H646"/>
    <mergeCell ref="P69:P70"/>
    <mergeCell ref="L107:L108"/>
    <mergeCell ref="L101:L102"/>
    <mergeCell ref="H612:H613"/>
    <mergeCell ref="I71:I73"/>
    <mergeCell ref="N101:N102"/>
    <mergeCell ref="J103:J105"/>
    <mergeCell ref="G300:G301"/>
    <mergeCell ref="J374:J376"/>
    <mergeCell ref="I300:I301"/>
    <mergeCell ref="F497:F498"/>
    <mergeCell ref="B2:P2"/>
    <mergeCell ref="G406:G407"/>
    <mergeCell ref="I585:I586"/>
    <mergeCell ref="I406:I407"/>
    <mergeCell ref="L127:L128"/>
    <mergeCell ref="M291:M292"/>
    <mergeCell ref="F695:F696"/>
    <mergeCell ref="H428:H429"/>
    <mergeCell ref="F238:F239"/>
    <mergeCell ref="I277:I278"/>
    <mergeCell ref="J751:J752"/>
    <mergeCell ref="J684:J686"/>
    <mergeCell ref="K66:K68"/>
    <mergeCell ref="M545:M547"/>
    <mergeCell ref="J354:J355"/>
    <mergeCell ref="H530:H531"/>
    <mergeCell ref="H92:H94"/>
    <mergeCell ref="M389:M391"/>
    <mergeCell ref="G358:G359"/>
    <mergeCell ref="J92:J94"/>
    <mergeCell ref="J530:J531"/>
    <mergeCell ref="H492:H493"/>
    <mergeCell ref="G389:G391"/>
    <mergeCell ref="F753:F754"/>
    <mergeCell ref="P95:P96"/>
    <mergeCell ref="H753:H754"/>
    <mergeCell ref="H486:H488"/>
    <mergeCell ref="H527:H528"/>
    <mergeCell ref="J527:J528"/>
    <mergeCell ref="M620:M621"/>
    <mergeCell ref="J448:J449"/>
    <mergeCell ref="K101:K102"/>
    <mergeCell ref="J746:J747"/>
    <mergeCell ref="M101:M102"/>
    <mergeCell ref="J56:J57"/>
    <mergeCell ref="O79:O80"/>
    <mergeCell ref="L56:L57"/>
    <mergeCell ref="G280:G281"/>
    <mergeCell ref="M691:M693"/>
    <mergeCell ref="I280:I281"/>
    <mergeCell ref="G516:G517"/>
    <mergeCell ref="I638:I639"/>
    <mergeCell ref="L62:L64"/>
    <mergeCell ref="G691:G693"/>
    <mergeCell ref="G361:G362"/>
    <mergeCell ref="I119:I120"/>
    <mergeCell ref="F680:F683"/>
    <mergeCell ref="I417:I418"/>
    <mergeCell ref="H680:H683"/>
    <mergeCell ref="H245:H246"/>
    <mergeCell ref="K71:K73"/>
    <mergeCell ref="I183:I184"/>
    <mergeCell ref="I354:I355"/>
    <mergeCell ref="K183:K184"/>
    <mergeCell ref="H116:H117"/>
    <mergeCell ref="I419:I420"/>
    <mergeCell ref="G753:G754"/>
    <mergeCell ref="I394:I395"/>
    <mergeCell ref="H672:H673"/>
    <mergeCell ref="O62:O64"/>
    <mergeCell ref="J672:J673"/>
    <mergeCell ref="F708:F709"/>
    <mergeCell ref="I356:I357"/>
    <mergeCell ref="K114:K115"/>
    <mergeCell ref="M760:M761"/>
    <mergeCell ref="M114:M115"/>
    <mergeCell ref="M170:M171"/>
    <mergeCell ref="H311:H312"/>
    <mergeCell ref="J69:J70"/>
    <mergeCell ref="M241:M242"/>
    <mergeCell ref="J367:J368"/>
    <mergeCell ref="P85:P86"/>
    <mergeCell ref="M737:M738"/>
    <mergeCell ref="H638:H639"/>
    <mergeCell ref="J83:J84"/>
    <mergeCell ref="N127:N128"/>
    <mergeCell ref="M218:M219"/>
    <mergeCell ref="I495:I496"/>
    <mergeCell ref="M516:M517"/>
    <mergeCell ref="I341:I342"/>
    <mergeCell ref="L75:L77"/>
    <mergeCell ref="N75:N77"/>
    <mergeCell ref="J742:J743"/>
    <mergeCell ref="I303:I304"/>
    <mergeCell ref="I443:I445"/>
    <mergeCell ref="N62:N64"/>
    <mergeCell ref="F500:F501"/>
    <mergeCell ref="H258:H259"/>
    <mergeCell ref="I107:I108"/>
    <mergeCell ref="M626:M627"/>
    <mergeCell ref="K107:K108"/>
    <mergeCell ref="H233:H234"/>
    <mergeCell ref="M721:M727"/>
    <mergeCell ref="O58:O59"/>
    <mergeCell ref="J233:J234"/>
    <mergeCell ref="I367:I368"/>
    <mergeCell ref="M392:M393"/>
    <mergeCell ref="E497:E498"/>
    <mergeCell ref="H48:H49"/>
    <mergeCell ref="H558:H559"/>
    <mergeCell ref="J558:J559"/>
    <mergeCell ref="G697:G699"/>
    <mergeCell ref="H406:H407"/>
    <mergeCell ref="H533:H534"/>
    <mergeCell ref="K127:K128"/>
    <mergeCell ref="J533:J534"/>
    <mergeCell ref="J148:J152"/>
    <mergeCell ref="M394:M395"/>
    <mergeCell ref="G397:G399"/>
    <mergeCell ref="G238:G239"/>
    <mergeCell ref="G530:G531"/>
    <mergeCell ref="I92:I94"/>
    <mergeCell ref="J170:J171"/>
    <mergeCell ref="G486:G488"/>
    <mergeCell ref="L121:L122"/>
    <mergeCell ref="I486:I488"/>
    <mergeCell ref="N121:N122"/>
    <mergeCell ref="L58:L59"/>
    <mergeCell ref="G233:G234"/>
    <mergeCell ref="N58:N59"/>
    <mergeCell ref="I233:I234"/>
    <mergeCell ref="L123:L124"/>
    <mergeCell ref="I56:I57"/>
    <mergeCell ref="N123:N124"/>
    <mergeCell ref="K56:K57"/>
    <mergeCell ref="J705:J707"/>
    <mergeCell ref="N215:N216"/>
    <mergeCell ref="M718:M719"/>
    <mergeCell ref="M341:M342"/>
    <mergeCell ref="F691:F693"/>
    <mergeCell ref="N116:N117"/>
    <mergeCell ref="H691:H693"/>
    <mergeCell ref="P116:P117"/>
    <mergeCell ref="H119:H120"/>
    <mergeCell ref="H361:H362"/>
    <mergeCell ref="J119:J120"/>
    <mergeCell ref="H417:H418"/>
    <mergeCell ref="J417:J418"/>
    <mergeCell ref="M347:M349"/>
    <mergeCell ref="P148:P152"/>
    <mergeCell ref="M776:M777"/>
    <mergeCell ref="J675:J676"/>
    <mergeCell ref="G614:G615"/>
    <mergeCell ref="J85:J86"/>
    <mergeCell ref="H183:H184"/>
    <mergeCell ref="M374:M376"/>
    <mergeCell ref="L85:L86"/>
    <mergeCell ref="J183:J184"/>
    <mergeCell ref="H354:H355"/>
    <mergeCell ref="H248:H249"/>
    <mergeCell ref="H419:H420"/>
    <mergeCell ref="J248:J249"/>
    <mergeCell ref="J419:J420"/>
    <mergeCell ref="J612:J613"/>
    <mergeCell ref="H721:H727"/>
    <mergeCell ref="J406:J407"/>
    <mergeCell ref="J721:J727"/>
    <mergeCell ref="G672:G673"/>
    <mergeCell ref="I672:I673"/>
    <mergeCell ref="J114:J115"/>
    <mergeCell ref="G311:G312"/>
    <mergeCell ref="G451:G453"/>
    <mergeCell ref="G382:G383"/>
    <mergeCell ref="I311:I312"/>
    <mergeCell ref="I451:I453"/>
    <mergeCell ref="M413:M415"/>
    <mergeCell ref="G687:G689"/>
    <mergeCell ref="I687:I689"/>
    <mergeCell ref="G440:G441"/>
    <mergeCell ref="I440:I441"/>
    <mergeCell ref="G545:G547"/>
    <mergeCell ref="F684:F686"/>
    <mergeCell ref="L218:L219"/>
    <mergeCell ref="F737:F738"/>
    <mergeCell ref="I545:I547"/>
    <mergeCell ref="N218:N219"/>
    <mergeCell ref="H737:H738"/>
    <mergeCell ref="I675:I676"/>
    <mergeCell ref="H261:H262"/>
    <mergeCell ref="M191:M192"/>
    <mergeCell ref="J261:J262"/>
    <mergeCell ref="J401:J403"/>
    <mergeCell ref="K560:K562"/>
    <mergeCell ref="M489:M491"/>
    <mergeCell ref="M560:M562"/>
    <mergeCell ref="P71:P73"/>
    <mergeCell ref="M408:M409"/>
    <mergeCell ref="J363:J364"/>
    <mergeCell ref="H443:H445"/>
    <mergeCell ref="K62:K64"/>
    <mergeCell ref="M62:M64"/>
    <mergeCell ref="M497:M498"/>
    <mergeCell ref="E500:E501"/>
    <mergeCell ref="G669:G670"/>
    <mergeCell ref="G336:G338"/>
    <mergeCell ref="M758:M759"/>
    <mergeCell ref="G500:G501"/>
    <mergeCell ref="J107:J108"/>
    <mergeCell ref="M708:M709"/>
    <mergeCell ref="J392:J393"/>
    <mergeCell ref="M695:M696"/>
    <mergeCell ref="M45:M46"/>
    <mergeCell ref="G527:G528"/>
    <mergeCell ref="G558:G559"/>
    <mergeCell ref="I558:I559"/>
    <mergeCell ref="F697:F699"/>
    <mergeCell ref="J600:J601"/>
    <mergeCell ref="O92:O94"/>
    <mergeCell ref="J394:J395"/>
    <mergeCell ref="I533:I534"/>
    <mergeCell ref="G604:G605"/>
    <mergeCell ref="J665:J666"/>
    <mergeCell ref="I604:I605"/>
    <mergeCell ref="I97:I99"/>
    <mergeCell ref="I728:I729"/>
    <mergeCell ref="I363:I364"/>
    <mergeCell ref="K121:K122"/>
    <mergeCell ref="M121:M122"/>
    <mergeCell ref="F256:F257"/>
    <mergeCell ref="M363:M364"/>
    <mergeCell ref="O121:O122"/>
    <mergeCell ref="H256:H257"/>
    <mergeCell ref="I428:I429"/>
    <mergeCell ref="F669:F670"/>
    <mergeCell ref="H684:H686"/>
    <mergeCell ref="H287:H289"/>
    <mergeCell ref="M58:M59"/>
    <mergeCell ref="G413:G415"/>
    <mergeCell ref="P119:P120"/>
    <mergeCell ref="K123:K124"/>
    <mergeCell ref="H66:H68"/>
    <mergeCell ref="M123:M124"/>
    <mergeCell ref="M245:M246"/>
    <mergeCell ref="M680:M683"/>
    <mergeCell ref="G459:G460"/>
    <mergeCell ref="M614:M615"/>
    <mergeCell ref="J718:J719"/>
    <mergeCell ref="H89:H90"/>
    <mergeCell ref="M579:M580"/>
    <mergeCell ref="H270:H271"/>
    <mergeCell ref="M527:M528"/>
    <mergeCell ref="J443:J445"/>
    <mergeCell ref="M358:M359"/>
    <mergeCell ref="O116:O117"/>
    <mergeCell ref="H555:H556"/>
    <mergeCell ref="M423:M424"/>
    <mergeCell ref="J555:J556"/>
    <mergeCell ref="H620:H621"/>
    <mergeCell ref="J620:J621"/>
    <mergeCell ref="G746:G747"/>
    <mergeCell ref="I504:I505"/>
    <mergeCell ref="I746:I747"/>
    <mergeCell ref="J79:J80"/>
    <mergeCell ref="L79:L80"/>
    <mergeCell ref="I83:I84"/>
    <mergeCell ref="G248:G249"/>
    <mergeCell ref="H282:H283"/>
    <mergeCell ref="I248:I249"/>
    <mergeCell ref="I612:I613"/>
    <mergeCell ref="G256:G257"/>
    <mergeCell ref="F451:F453"/>
    <mergeCell ref="H451:H453"/>
    <mergeCell ref="F509:F510"/>
    <mergeCell ref="F687:F689"/>
    <mergeCell ref="H509:H510"/>
    <mergeCell ref="M238:M239"/>
    <mergeCell ref="J277:J278"/>
    <mergeCell ref="F770:F773"/>
    <mergeCell ref="J404:J405"/>
    <mergeCell ref="H770:H773"/>
    <mergeCell ref="H440:H441"/>
    <mergeCell ref="N114:N115"/>
    <mergeCell ref="P114:P115"/>
    <mergeCell ref="K215:K216"/>
    <mergeCell ref="F657:F658"/>
    <mergeCell ref="M411:M412"/>
    <mergeCell ref="M215:M216"/>
    <mergeCell ref="H657:H658"/>
    <mergeCell ref="E516:E517"/>
    <mergeCell ref="M466:M469"/>
    <mergeCell ref="L170:L171"/>
    <mergeCell ref="M574:M575"/>
    <mergeCell ref="H504:H505"/>
    <mergeCell ref="I103:I105"/>
    <mergeCell ref="G401:G403"/>
    <mergeCell ref="G332:G333"/>
    <mergeCell ref="I401:I403"/>
    <mergeCell ref="J504:J505"/>
    <mergeCell ref="H675:H676"/>
    <mergeCell ref="J560:J562"/>
    <mergeCell ref="I459:I460"/>
    <mergeCell ref="G282:G283"/>
    <mergeCell ref="J715:J716"/>
    <mergeCell ref="M638:M639"/>
    <mergeCell ref="M48:M49"/>
    <mergeCell ref="J245:J246"/>
    <mergeCell ref="F758:F759"/>
    <mergeCell ref="J66:J68"/>
    <mergeCell ref="J766:J767"/>
    <mergeCell ref="F733:F734"/>
    <mergeCell ref="H733:H734"/>
    <mergeCell ref="I404:I405"/>
    <mergeCell ref="F604:F605"/>
    <mergeCell ref="I665:I666"/>
    <mergeCell ref="P92:P94"/>
    <mergeCell ref="M600:M601"/>
    <mergeCell ref="H626:H627"/>
    <mergeCell ref="M665:M666"/>
    <mergeCell ref="F644:F646"/>
    <mergeCell ref="H570:H571"/>
    <mergeCell ref="H687:H689"/>
    <mergeCell ref="H103:H105"/>
    <mergeCell ref="H97:H99"/>
    <mergeCell ref="H401:H403"/>
    <mergeCell ref="H728:H729"/>
    <mergeCell ref="J97:J99"/>
    <mergeCell ref="M220:M222"/>
    <mergeCell ref="J728:J729"/>
    <mergeCell ref="E585:E586"/>
    <mergeCell ref="G585:G586"/>
    <mergeCell ref="P127:P128"/>
    <mergeCell ref="M495:M496"/>
    <mergeCell ref="J428:J429"/>
    <mergeCell ref="G287:G289"/>
    <mergeCell ref="J466:J469"/>
    <mergeCell ref="I287:I289"/>
    <mergeCell ref="F751:F752"/>
    <mergeCell ref="M361:M362"/>
    <mergeCell ref="O119:O120"/>
    <mergeCell ref="I66:I68"/>
    <mergeCell ref="J492:J493"/>
    <mergeCell ref="G733:G734"/>
    <mergeCell ref="L95:L96"/>
    <mergeCell ref="N95:N96"/>
    <mergeCell ref="N89:N90"/>
    <mergeCell ref="P89:P90"/>
    <mergeCell ref="I555:I556"/>
    <mergeCell ref="G620:G621"/>
    <mergeCell ref="M75:M77"/>
    <mergeCell ref="I620:I621"/>
    <mergeCell ref="O75:O77"/>
    <mergeCell ref="F746:F747"/>
    <mergeCell ref="I101:I102"/>
    <mergeCell ref="M742:M743"/>
    <mergeCell ref="H746:H747"/>
    <mergeCell ref="K79:K80"/>
    <mergeCell ref="M79:M80"/>
    <mergeCell ref="H83:H84"/>
    <mergeCell ref="M384:M386"/>
    <mergeCell ref="J270:J271"/>
    <mergeCell ref="G384:G386"/>
    <mergeCell ref="J568:J569"/>
    <mergeCell ref="G638:G639"/>
    <mergeCell ref="H291:H292"/>
    <mergeCell ref="O45:O46"/>
    <mergeCell ref="H85:H86"/>
    <mergeCell ref="H347:H349"/>
    <mergeCell ref="G417:G418"/>
    <mergeCell ref="M684:M686"/>
    <mergeCell ref="G509:G510"/>
    <mergeCell ref="M354:M355"/>
    <mergeCell ref="J570:J571"/>
    <mergeCell ref="G684:G686"/>
    <mergeCell ref="G354:G355"/>
    <mergeCell ref="M323:M325"/>
    <mergeCell ref="H397:H399"/>
    <mergeCell ref="G419:G420"/>
    <mergeCell ref="H238:H239"/>
    <mergeCell ref="G770:G773"/>
    <mergeCell ref="M89:M90"/>
    <mergeCell ref="M356:M357"/>
    <mergeCell ref="O114:O115"/>
    <mergeCell ref="O89:O90"/>
    <mergeCell ref="I760:I761"/>
    <mergeCell ref="I114:I115"/>
    <mergeCell ref="I170:I171"/>
    <mergeCell ref="I241:I242"/>
    <mergeCell ref="K170:K171"/>
    <mergeCell ref="G277:G278"/>
    <mergeCell ref="G448:G449"/>
    <mergeCell ref="H367:H368"/>
    <mergeCell ref="I560:I562"/>
    <mergeCell ref="H459:H460"/>
    <mergeCell ref="H111:H112"/>
    <mergeCell ref="G270:G271"/>
    <mergeCell ref="I270:I271"/>
    <mergeCell ref="I737:I738"/>
    <mergeCell ref="I568:I569"/>
    <mergeCell ref="I245:I246"/>
    <mergeCell ref="M697:M699"/>
    <mergeCell ref="M261:M262"/>
    <mergeCell ref="I766:I767"/>
    <mergeCell ref="I570:I571"/>
    <mergeCell ref="H604:H605"/>
    <mergeCell ref="M397:M399"/>
    <mergeCell ref="M211:M212"/>
    <mergeCell ref="E524:E525"/>
    <mergeCell ref="H75:H77"/>
    <mergeCell ref="P97:P99"/>
    <mergeCell ref="G303:G304"/>
    <mergeCell ref="J62:J64"/>
    <mergeCell ref="G626:G627"/>
    <mergeCell ref="I626:I627"/>
    <mergeCell ref="M770:M773"/>
    <mergeCell ref="H760:H761"/>
    <mergeCell ref="M69:M70"/>
    <mergeCell ref="G721:G727"/>
    <mergeCell ref="O69:O70"/>
    <mergeCell ref="M367:M368"/>
    <mergeCell ref="I721:I727"/>
    <mergeCell ref="M669:M670"/>
    <mergeCell ref="G392:G393"/>
    <mergeCell ref="G367:G368"/>
    <mergeCell ref="M336:M338"/>
    <mergeCell ref="G374:G376"/>
    <mergeCell ref="I392:I393"/>
    <mergeCell ref="N220:N222"/>
    <mergeCell ref="O127:O128"/>
    <mergeCell ref="G394:G395"/>
    <mergeCell ref="I127:I128"/>
    <mergeCell ref="M585:M586"/>
    <mergeCell ref="H545:H547"/>
    <mergeCell ref="M95:M96"/>
    <mergeCell ref="N83:N84"/>
    <mergeCell ref="J121:J122"/>
    <mergeCell ref="P83:P84"/>
    <mergeCell ref="M282:M283"/>
    <mergeCell ref="M524:M525"/>
    <mergeCell ref="F626:F627"/>
    <mergeCell ref="G356:G357"/>
    <mergeCell ref="J58:J59"/>
    <mergeCell ref="H101:H102"/>
    <mergeCell ref="O48:O49"/>
    <mergeCell ref="J680:J683"/>
    <mergeCell ref="J350:J351"/>
    <mergeCell ref="M382:M383"/>
    <mergeCell ref="H697:H699"/>
    <mergeCell ref="G718:G719"/>
    <mergeCell ref="M509:M510"/>
    <mergeCell ref="J344:J346"/>
    <mergeCell ref="I718:I719"/>
    <mergeCell ref="H579:H580"/>
    <mergeCell ref="J579:J580"/>
    <mergeCell ref="J116:J117"/>
    <mergeCell ref="L116:L117"/>
    <mergeCell ref="N45:N46"/>
    <mergeCell ref="G291:G292"/>
    <mergeCell ref="I291:I292"/>
    <mergeCell ref="P45:P46"/>
    <mergeCell ref="I347:I349"/>
    <mergeCell ref="I776:I777"/>
    <mergeCell ref="N148:N152"/>
    <mergeCell ref="I374:I376"/>
    <mergeCell ref="G657:G658"/>
    <mergeCell ref="N103:N105"/>
    <mergeCell ref="O71:O73"/>
    <mergeCell ref="P103:P105"/>
    <mergeCell ref="M300:M301"/>
    <mergeCell ref="N111:N112"/>
    <mergeCell ref="P111:P112"/>
    <mergeCell ref="H114:H115"/>
    <mergeCell ref="J760:J761"/>
    <mergeCell ref="H241:H242"/>
    <mergeCell ref="I715:I716"/>
    <mergeCell ref="J241:J242"/>
    <mergeCell ref="M705:M707"/>
    <mergeCell ref="M277:M278"/>
    <mergeCell ref="O66:O68"/>
    <mergeCell ref="M733:M734"/>
    <mergeCell ref="M344:M346"/>
    <mergeCell ref="O95:O96"/>
    <mergeCell ref="J737:J738"/>
    <mergeCell ref="M675:M676"/>
    <mergeCell ref="M85:M86"/>
    <mergeCell ref="I191:I192"/>
    <mergeCell ref="J776:J777"/>
    <mergeCell ref="K191:K192"/>
    <mergeCell ref="J282:J283"/>
    <mergeCell ref="I489:I491"/>
    <mergeCell ref="G408:G409"/>
    <mergeCell ref="L71:L73"/>
    <mergeCell ref="I408:I409"/>
    <mergeCell ref="N71:N73"/>
    <mergeCell ref="I75:I77"/>
    <mergeCell ref="G377:G379"/>
    <mergeCell ref="K75:K77"/>
    <mergeCell ref="O97:O99"/>
    <mergeCell ref="I377:I379"/>
    <mergeCell ref="I62:I64"/>
    <mergeCell ref="G742:G743"/>
    <mergeCell ref="G497:G498"/>
    <mergeCell ref="I497:I498"/>
    <mergeCell ref="F672:F673"/>
    <mergeCell ref="H107:H108"/>
    <mergeCell ref="G241:G242"/>
    <mergeCell ref="I708:I709"/>
    <mergeCell ref="G695:G696"/>
    <mergeCell ref="H392:H393"/>
    <mergeCell ref="I695:I696"/>
  </mergeCells>
  <pageMargins left="0.511811024" right="0.511811024" top="0.787401575" bottom="0.787401575" header="0" footer="0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15"/>
  <sheetViews>
    <sheetView workbookViewId="0">
      <selection activeCell="A1" sqref="A1"/>
    </sheetView>
  </sheetViews>
  <sheetFormatPr baseColWidth="8" defaultColWidth="11.22" defaultRowHeight="15" customHeight="1"/>
  <cols>
    <col width="40.44" customWidth="1" style="317" min="1" max="1"/>
    <col width="8.56" customWidth="1" style="317" min="2" max="2"/>
    <col width="13.89" customWidth="1" style="317" min="3" max="3"/>
    <col width="16.11" customWidth="1" style="317" min="4" max="4"/>
    <col width="13.67" customWidth="1" style="317" min="5" max="5"/>
    <col width="13.56" customWidth="1" style="317" min="6" max="8"/>
    <col width="14.11" customWidth="1" style="317" min="9" max="9"/>
    <col width="32.11" customWidth="1" style="317" min="10" max="10"/>
    <col width="24.56" customWidth="1" style="317" min="11" max="11"/>
    <col width="31.56" customWidth="1" style="317" min="12" max="12"/>
    <col width="16.11" customWidth="1" style="317" min="13" max="13"/>
    <col width="25.44" customWidth="1" style="317" min="14" max="14"/>
    <col width="27.11" customWidth="1" style="317" min="15" max="15"/>
    <col width="8.890000000000001" customWidth="1" style="317" min="16" max="26"/>
  </cols>
  <sheetData>
    <row r="1" ht="81.75" customHeight="1" s="31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349" t="inlineStr">
        <is>
          <t>PLANILHA VENDAS LIVRARIA EBP-BA 2023</t>
        </is>
      </c>
      <c r="P2" s="1" t="n"/>
    </row>
    <row r="3">
      <c r="A3" s="64" t="inlineStr">
        <is>
          <t>ITENS</t>
        </is>
      </c>
      <c r="B3" s="64" t="inlineStr">
        <is>
          <t>QTD</t>
        </is>
      </c>
      <c r="C3" s="64" t="inlineStr">
        <is>
          <t>VALOR UNT</t>
        </is>
      </c>
      <c r="D3" s="64" t="inlineStr">
        <is>
          <t>SUBTOTAL</t>
        </is>
      </c>
      <c r="E3" s="64" t="inlineStr">
        <is>
          <t>VALOR FRETE</t>
        </is>
      </c>
      <c r="F3" s="64" t="inlineStr">
        <is>
          <t>VALOR TOTAL</t>
        </is>
      </c>
      <c r="G3" s="65" t="inlineStr">
        <is>
          <t>VENDA</t>
        </is>
      </c>
      <c r="H3" s="65" t="inlineStr">
        <is>
          <t>DATA VENDA</t>
        </is>
      </c>
      <c r="I3" s="65" t="inlineStr">
        <is>
          <t>FORMA PGTO</t>
        </is>
      </c>
      <c r="J3" s="65" t="n"/>
      <c r="K3" s="65" t="n"/>
      <c r="L3" s="65" t="n"/>
      <c r="M3" s="65" t="n"/>
      <c r="N3" s="64" t="n"/>
      <c r="O3" s="64" t="inlineStr">
        <is>
          <t>ENDEREÇO</t>
        </is>
      </c>
      <c r="P3" s="66" t="n"/>
    </row>
    <row r="4" ht="15.75" customHeight="1" s="317">
      <c r="A4" s="66" t="inlineStr">
        <is>
          <t>O campo uniano</t>
        </is>
      </c>
      <c r="B4" s="108" t="n">
        <v>3</v>
      </c>
      <c r="C4" s="68" t="n">
        <v>120</v>
      </c>
      <c r="D4" s="68">
        <f>C4*B4</f>
        <v/>
      </c>
      <c r="E4" s="68" t="n"/>
      <c r="F4" s="68">
        <f>E4+D4</f>
        <v/>
      </c>
      <c r="G4" s="69">
        <f>F4</f>
        <v/>
      </c>
      <c r="H4" s="70" t="n">
        <v>44942</v>
      </c>
      <c r="I4" s="79" t="inlineStr">
        <is>
          <t>TED</t>
        </is>
      </c>
      <c r="J4" s="79" t="n"/>
      <c r="K4" s="70" t="n"/>
      <c r="L4" s="72" t="n"/>
      <c r="M4" s="72" t="n"/>
      <c r="N4" s="73" t="n"/>
      <c r="O4" s="74" t="n"/>
      <c r="P4" s="66" t="n"/>
    </row>
    <row r="5">
      <c r="A5" s="236" t="inlineStr">
        <is>
          <t>Objeto, Corpo e Gozo</t>
        </is>
      </c>
      <c r="B5" s="79" t="n">
        <v>1</v>
      </c>
      <c r="C5" s="68" t="n">
        <v>50</v>
      </c>
      <c r="D5" s="68">
        <f>C5*B5</f>
        <v/>
      </c>
      <c r="E5" s="76" t="n"/>
      <c r="F5" s="68">
        <f>E5+D5</f>
        <v/>
      </c>
      <c r="G5" s="69">
        <f>F5</f>
        <v/>
      </c>
      <c r="H5" s="70" t="n">
        <v>44945</v>
      </c>
      <c r="I5" s="79" t="inlineStr">
        <is>
          <t>PIX</t>
        </is>
      </c>
      <c r="J5" s="79" t="n"/>
      <c r="K5" s="70" t="n"/>
      <c r="L5" s="236" t="n"/>
      <c r="M5" s="236" t="n"/>
      <c r="N5" s="236" t="n"/>
      <c r="O5" s="236" t="n"/>
      <c r="P5" s="236" t="n"/>
    </row>
    <row r="6">
      <c r="A6" s="236" t="inlineStr">
        <is>
          <t>Todo el mundo es loco</t>
        </is>
      </c>
      <c r="B6" s="79" t="n">
        <v>1</v>
      </c>
      <c r="C6" s="68" t="n">
        <v>150</v>
      </c>
      <c r="D6" s="68">
        <f>C6*B6</f>
        <v/>
      </c>
      <c r="E6" s="76" t="n">
        <v>15</v>
      </c>
      <c r="F6" s="68">
        <f>E6+D6</f>
        <v/>
      </c>
      <c r="G6" s="69">
        <f>F6</f>
        <v/>
      </c>
      <c r="H6" s="70" t="n">
        <v>44949</v>
      </c>
      <c r="I6" s="79" t="inlineStr">
        <is>
          <t>PIX</t>
        </is>
      </c>
      <c r="J6" s="77" t="n"/>
      <c r="K6" s="70" t="n"/>
      <c r="L6" s="236" t="n"/>
      <c r="M6" s="236" t="n"/>
      <c r="N6" s="236" t="n"/>
      <c r="O6" s="236" t="n"/>
      <c r="P6" s="236" t="n"/>
    </row>
    <row r="7">
      <c r="A7" s="236" t="inlineStr">
        <is>
          <t>El objeto a em la experiencia analítica</t>
        </is>
      </c>
      <c r="B7" s="79" t="n">
        <v>1</v>
      </c>
      <c r="C7" s="68" t="n">
        <v>110</v>
      </c>
      <c r="D7" s="68">
        <f>C7*B7</f>
        <v/>
      </c>
      <c r="E7" s="76" t="n"/>
      <c r="F7" s="68">
        <f>E7+D7</f>
        <v/>
      </c>
      <c r="G7" s="69">
        <f>F7</f>
        <v/>
      </c>
      <c r="H7" s="70" t="n">
        <v>44951</v>
      </c>
      <c r="I7" s="79" t="inlineStr">
        <is>
          <t>PIX</t>
        </is>
      </c>
      <c r="K7" s="236" t="n"/>
      <c r="L7" s="236" t="n"/>
      <c r="M7" s="236" t="n"/>
      <c r="N7" s="236" t="n"/>
      <c r="O7" s="236" t="n"/>
      <c r="P7" s="236" t="n"/>
    </row>
    <row r="8">
      <c r="A8" s="236" t="inlineStr">
        <is>
          <t>El objeto a em la experiencia analítica</t>
        </is>
      </c>
      <c r="B8" s="79" t="n">
        <v>1</v>
      </c>
      <c r="C8" s="68" t="n">
        <v>110</v>
      </c>
      <c r="D8" s="68">
        <f>C8*B8</f>
        <v/>
      </c>
      <c r="E8" s="76" t="n"/>
      <c r="F8" s="68">
        <f>E8+D8</f>
        <v/>
      </c>
      <c r="G8" s="69">
        <f>F8</f>
        <v/>
      </c>
      <c r="H8" s="70" t="n">
        <v>44951</v>
      </c>
      <c r="I8" s="79" t="inlineStr">
        <is>
          <t>PIX</t>
        </is>
      </c>
      <c r="J8" s="236" t="n"/>
      <c r="K8" s="236" t="n"/>
      <c r="L8" s="236" t="n"/>
      <c r="M8" s="236" t="n"/>
      <c r="N8" s="236" t="n"/>
      <c r="O8" s="236" t="n"/>
      <c r="P8" s="236" t="n"/>
    </row>
    <row r="9">
      <c r="A9" s="236" t="inlineStr">
        <is>
          <t>El objeto a em la experiencia analítica</t>
        </is>
      </c>
      <c r="B9" s="79" t="n">
        <v>5</v>
      </c>
      <c r="C9" s="68" t="n">
        <v>110</v>
      </c>
      <c r="D9" s="68">
        <f>C9*B9</f>
        <v/>
      </c>
      <c r="E9" s="76" t="n"/>
      <c r="F9" s="68">
        <f>E9+D9</f>
        <v/>
      </c>
      <c r="G9" s="69">
        <f>F9</f>
        <v/>
      </c>
      <c r="H9" s="70" t="n">
        <v>44951</v>
      </c>
      <c r="I9" s="79" t="inlineStr">
        <is>
          <t>PIX</t>
        </is>
      </c>
      <c r="J9" s="236" t="n"/>
      <c r="K9" s="236" t="n"/>
      <c r="L9" s="236" t="n"/>
      <c r="M9" s="236" t="n"/>
      <c r="N9" s="236" t="n"/>
      <c r="O9" s="236" t="n"/>
      <c r="P9" s="236" t="n"/>
    </row>
    <row r="10">
      <c r="A10" s="236" t="inlineStr">
        <is>
          <t>El objeto a em la experiencia analítica</t>
        </is>
      </c>
      <c r="B10" s="79" t="n">
        <v>1</v>
      </c>
      <c r="C10" s="68" t="n">
        <v>110</v>
      </c>
      <c r="D10" s="68">
        <f>C10*B10</f>
        <v/>
      </c>
      <c r="E10" s="76" t="n"/>
      <c r="F10" s="68">
        <f>E10+D10</f>
        <v/>
      </c>
      <c r="G10" s="69">
        <f>F10</f>
        <v/>
      </c>
      <c r="H10" s="70" t="n">
        <v>44956</v>
      </c>
      <c r="I10" s="79" t="inlineStr">
        <is>
          <t>TED</t>
        </is>
      </c>
      <c r="J10" s="236" t="n"/>
      <c r="K10" s="236" t="n"/>
      <c r="L10" s="236" t="n"/>
      <c r="M10" s="236" t="n"/>
      <c r="N10" s="236" t="n"/>
      <c r="O10" s="236" t="n"/>
      <c r="P10" s="236" t="n"/>
    </row>
    <row r="11">
      <c r="A11" s="236" t="inlineStr">
        <is>
          <t>El objeto a em la experiencia analítica</t>
        </is>
      </c>
      <c r="B11" s="79" t="n">
        <v>1</v>
      </c>
      <c r="C11" s="68" t="n">
        <v>110</v>
      </c>
      <c r="D11" s="68">
        <f>C11*B11</f>
        <v/>
      </c>
      <c r="E11" s="76" t="n"/>
      <c r="F11" s="68">
        <f>E11+D11</f>
        <v/>
      </c>
      <c r="G11" s="69">
        <f>F11</f>
        <v/>
      </c>
      <c r="H11" s="70" t="n">
        <v>44987</v>
      </c>
      <c r="I11" s="165" t="inlineStr">
        <is>
          <t>PIX</t>
        </is>
      </c>
      <c r="J11" s="236" t="n"/>
      <c r="K11" s="236" t="n"/>
      <c r="L11" s="236" t="n"/>
      <c r="M11" s="236" t="n"/>
      <c r="N11" s="236" t="n"/>
      <c r="O11" s="236" t="n"/>
      <c r="P11" s="236" t="n"/>
    </row>
    <row r="12">
      <c r="A12" s="236" t="inlineStr">
        <is>
          <t>Todo el mundo es loco</t>
        </is>
      </c>
      <c r="B12" s="79" t="n">
        <v>1</v>
      </c>
      <c r="C12" s="68" t="n">
        <v>150</v>
      </c>
      <c r="D12" s="68">
        <f>C12*B12</f>
        <v/>
      </c>
      <c r="E12" s="76" t="n"/>
      <c r="F12" s="68">
        <f>E12+D12</f>
        <v/>
      </c>
      <c r="G12" s="69">
        <f>F12</f>
        <v/>
      </c>
      <c r="H12" s="70" t="n">
        <v>44963</v>
      </c>
      <c r="I12" s="165" t="inlineStr">
        <is>
          <t>PIX</t>
        </is>
      </c>
      <c r="J12" s="236" t="n"/>
      <c r="K12" s="236" t="n"/>
      <c r="L12" s="236" t="n"/>
      <c r="M12" s="236" t="n"/>
      <c r="N12" s="236" t="n"/>
      <c r="O12" s="236" t="n"/>
      <c r="P12" s="236" t="n"/>
    </row>
    <row r="13">
      <c r="A13" s="236" t="inlineStr">
        <is>
          <t>El objeto a em la experiencia analítica</t>
        </is>
      </c>
      <c r="B13" s="79" t="n">
        <v>1</v>
      </c>
      <c r="C13" s="68" t="n">
        <v>110</v>
      </c>
      <c r="D13" s="68">
        <f>C13*B13</f>
        <v/>
      </c>
      <c r="E13" s="76" t="n"/>
      <c r="F13" s="68">
        <f>E13+D13+D14</f>
        <v/>
      </c>
      <c r="G13" s="69">
        <f>F13</f>
        <v/>
      </c>
      <c r="H13" s="70" t="n">
        <v>44966</v>
      </c>
      <c r="I13" s="165" t="inlineStr">
        <is>
          <t>PIX</t>
        </is>
      </c>
      <c r="J13" s="165" t="n"/>
      <c r="K13" s="165" t="n"/>
      <c r="L13" s="236" t="n"/>
      <c r="M13" s="236" t="n"/>
      <c r="N13" s="236" t="n"/>
      <c r="O13" s="236" t="n"/>
      <c r="P13" s="236" t="n"/>
    </row>
    <row r="14">
      <c r="A14" s="236" t="inlineStr">
        <is>
          <t>O Feminino In-familiar</t>
        </is>
      </c>
      <c r="B14" s="79" t="n">
        <v>1</v>
      </c>
      <c r="C14" s="68" t="n">
        <v>55</v>
      </c>
      <c r="D14" s="68">
        <f>C14*B14</f>
        <v/>
      </c>
      <c r="E14" s="76" t="n"/>
      <c r="F14" s="340" t="n"/>
      <c r="G14" s="340" t="n"/>
      <c r="H14" s="340" t="n"/>
      <c r="I14" s="340" t="n"/>
      <c r="J14" s="340" t="n"/>
      <c r="K14" s="340" t="n"/>
      <c r="L14" s="236" t="n"/>
      <c r="M14" s="236" t="n"/>
      <c r="N14" s="236" t="n"/>
      <c r="O14" s="236" t="n"/>
      <c r="P14" s="236" t="n"/>
    </row>
    <row r="15">
      <c r="A15" s="236" t="inlineStr">
        <is>
          <t>El objeto a em la experiencia analítica</t>
        </is>
      </c>
      <c r="B15" s="79" t="n">
        <v>1</v>
      </c>
      <c r="C15" s="68" t="n">
        <v>110</v>
      </c>
      <c r="D15" s="68">
        <f>C15*B15</f>
        <v/>
      </c>
      <c r="E15" s="76" t="n"/>
      <c r="F15" s="68">
        <f>E15+D15</f>
        <v/>
      </c>
      <c r="G15" s="69">
        <f>F15</f>
        <v/>
      </c>
      <c r="H15" s="70" t="n">
        <v>44966</v>
      </c>
      <c r="I15" s="165" t="inlineStr">
        <is>
          <t>PIX</t>
        </is>
      </c>
      <c r="J15" s="236" t="n"/>
      <c r="K15" s="236" t="n"/>
      <c r="L15" s="236" t="n"/>
      <c r="M15" s="236" t="n"/>
      <c r="N15" s="236" t="n"/>
      <c r="O15" s="236" t="n"/>
      <c r="P15" s="236" t="n"/>
    </row>
    <row r="16">
      <c r="A16" s="236" t="inlineStr">
        <is>
          <t>O Feminino In-familiar</t>
        </is>
      </c>
      <c r="B16" s="79" t="n">
        <v>4</v>
      </c>
      <c r="C16" s="68" t="n">
        <v>55</v>
      </c>
      <c r="D16" s="68">
        <f>C16*B16</f>
        <v/>
      </c>
      <c r="E16" s="76" t="n"/>
      <c r="F16" s="68">
        <f>E16+D16</f>
        <v/>
      </c>
      <c r="G16" s="69">
        <f>F16</f>
        <v/>
      </c>
      <c r="H16" s="70" t="n">
        <v>44967</v>
      </c>
      <c r="I16" s="165" t="inlineStr">
        <is>
          <t>PIX</t>
        </is>
      </c>
      <c r="J16" s="236" t="n"/>
      <c r="K16" s="236" t="n"/>
      <c r="L16" s="236" t="n"/>
      <c r="M16" s="236" t="n"/>
      <c r="N16" s="236" t="n"/>
      <c r="O16" s="236" t="n"/>
      <c r="P16" s="236" t="n"/>
    </row>
    <row r="17">
      <c r="A17" s="236" t="inlineStr">
        <is>
          <t>Desarraigados</t>
        </is>
      </c>
      <c r="B17" s="79" t="n">
        <v>1</v>
      </c>
      <c r="C17" s="68" t="n">
        <v>140</v>
      </c>
      <c r="D17" s="68">
        <f>C17*B17</f>
        <v/>
      </c>
      <c r="E17" s="76" t="n"/>
      <c r="F17" s="68">
        <f>E17+D17</f>
        <v/>
      </c>
      <c r="G17" s="69">
        <f>F17</f>
        <v/>
      </c>
      <c r="H17" s="70" t="n">
        <v>44971</v>
      </c>
      <c r="I17" s="165" t="inlineStr">
        <is>
          <t>PIX</t>
        </is>
      </c>
      <c r="J17" s="236" t="n"/>
      <c r="K17" s="236" t="n"/>
      <c r="L17" s="236" t="n"/>
      <c r="M17" s="236" t="n"/>
      <c r="N17" s="236" t="n"/>
      <c r="O17" s="236" t="n"/>
      <c r="P17" s="236" t="n"/>
    </row>
    <row r="18">
      <c r="A18" s="236" t="inlineStr">
        <is>
          <t>Desarraigados</t>
        </is>
      </c>
      <c r="B18" s="79" t="n">
        <v>5</v>
      </c>
      <c r="C18" s="68" t="n">
        <v>140</v>
      </c>
      <c r="D18" s="68">
        <f>C18*B18</f>
        <v/>
      </c>
      <c r="E18" s="76" t="n"/>
      <c r="F18" s="68">
        <f>E18+D18</f>
        <v/>
      </c>
      <c r="G18" s="69">
        <f>F18</f>
        <v/>
      </c>
      <c r="H18" s="70" t="n">
        <v>44984</v>
      </c>
      <c r="I18" s="79" t="inlineStr">
        <is>
          <t>PIX</t>
        </is>
      </c>
      <c r="J18" s="236" t="n"/>
      <c r="K18" s="236" t="n"/>
      <c r="L18" s="236" t="n"/>
      <c r="M18" s="236" t="n"/>
      <c r="N18" s="236" t="n"/>
      <c r="O18" s="236" t="n"/>
      <c r="P18" s="236" t="n"/>
    </row>
    <row r="19">
      <c r="A19" s="236" t="inlineStr">
        <is>
          <t>Desarraigados</t>
        </is>
      </c>
      <c r="B19" s="79" t="n">
        <v>1</v>
      </c>
      <c r="C19" s="68" t="n">
        <v>140</v>
      </c>
      <c r="D19" s="68">
        <f>C19*B19</f>
        <v/>
      </c>
      <c r="E19" s="76" t="n"/>
      <c r="F19" s="68">
        <f>E19+D19</f>
        <v/>
      </c>
      <c r="G19" s="69">
        <f>F19</f>
        <v/>
      </c>
      <c r="H19" s="70" t="n">
        <v>44985</v>
      </c>
      <c r="I19" s="79" t="inlineStr">
        <is>
          <t>PIX</t>
        </is>
      </c>
      <c r="J19" s="236" t="n"/>
      <c r="K19" s="236" t="n"/>
      <c r="L19" s="236" t="n"/>
      <c r="M19" s="236" t="n"/>
      <c r="N19" s="236" t="n"/>
      <c r="O19" s="236" t="n"/>
      <c r="P19" s="236" t="n"/>
    </row>
    <row r="20">
      <c r="A20" s="236" t="inlineStr">
        <is>
          <t>Cómo terminan los análisis</t>
        </is>
      </c>
      <c r="B20" s="79" t="n">
        <v>1</v>
      </c>
      <c r="C20" s="68" t="n">
        <v>135</v>
      </c>
      <c r="D20" s="68">
        <f>C20*B20</f>
        <v/>
      </c>
      <c r="E20" s="76" t="n"/>
      <c r="F20" s="68">
        <f>E20+D20</f>
        <v/>
      </c>
      <c r="G20" s="69">
        <f>F20</f>
        <v/>
      </c>
      <c r="H20" s="70" t="n">
        <v>44987</v>
      </c>
      <c r="I20" s="79" t="inlineStr">
        <is>
          <t>PIX</t>
        </is>
      </c>
      <c r="J20" s="236" t="n"/>
      <c r="K20" s="236" t="n"/>
      <c r="L20" s="236" t="n"/>
      <c r="M20" s="236" t="n"/>
      <c r="N20" s="236" t="n"/>
      <c r="O20" s="236" t="n"/>
      <c r="P20" s="236" t="n"/>
    </row>
    <row r="21">
      <c r="A21" s="236" t="inlineStr">
        <is>
          <t>Sabiá - Revista de psicanálise</t>
        </is>
      </c>
      <c r="B21" s="79" t="n">
        <v>1</v>
      </c>
      <c r="C21" s="68" t="n">
        <v>60</v>
      </c>
      <c r="D21" s="68">
        <f>C21*B21</f>
        <v/>
      </c>
      <c r="E21" s="76" t="n"/>
      <c r="F21" s="68">
        <f>E21+D21</f>
        <v/>
      </c>
      <c r="G21" s="69">
        <f>F21</f>
        <v/>
      </c>
      <c r="H21" s="70" t="n">
        <v>44987</v>
      </c>
      <c r="I21" s="79" t="inlineStr">
        <is>
          <t>PIX</t>
        </is>
      </c>
      <c r="J21" s="236" t="n"/>
      <c r="K21" s="236" t="n"/>
      <c r="L21" s="236" t="n"/>
      <c r="M21" s="236" t="n"/>
      <c r="N21" s="236" t="n"/>
      <c r="O21" s="236" t="n"/>
      <c r="P21" s="236" t="n"/>
    </row>
    <row r="22">
      <c r="A22" s="236" t="inlineStr">
        <is>
          <t>Desarraigados</t>
        </is>
      </c>
      <c r="B22" s="79" t="n">
        <v>1</v>
      </c>
      <c r="C22" s="68" t="n">
        <v>140</v>
      </c>
      <c r="D22" s="68">
        <f>C22*B22</f>
        <v/>
      </c>
      <c r="E22" s="76" t="n"/>
      <c r="F22" s="68">
        <f>E22+D22</f>
        <v/>
      </c>
      <c r="G22" s="69">
        <f>F22</f>
        <v/>
      </c>
      <c r="H22" s="70" t="n">
        <v>44992</v>
      </c>
      <c r="I22" s="79" t="inlineStr">
        <is>
          <t>PIX</t>
        </is>
      </c>
      <c r="J22" s="236" t="n"/>
      <c r="K22" s="236" t="n"/>
      <c r="L22" s="236" t="n"/>
      <c r="M22" s="236" t="n"/>
      <c r="N22" s="236" t="n"/>
      <c r="O22" s="236" t="n"/>
      <c r="P22" s="236" t="n"/>
    </row>
    <row r="23">
      <c r="A23" s="236" t="inlineStr">
        <is>
          <t>O campo uniano</t>
        </is>
      </c>
      <c r="B23" s="79" t="n">
        <v>2</v>
      </c>
      <c r="C23" s="68" t="n">
        <v>120</v>
      </c>
      <c r="D23" s="68">
        <f>C23*B23</f>
        <v/>
      </c>
      <c r="E23" s="76" t="n"/>
      <c r="F23" s="68">
        <f>E23+D23</f>
        <v/>
      </c>
      <c r="G23" s="69">
        <f>F23</f>
        <v/>
      </c>
      <c r="H23" s="70" t="n">
        <v>44992</v>
      </c>
      <c r="I23" s="79" t="inlineStr">
        <is>
          <t>PIX</t>
        </is>
      </c>
      <c r="J23" s="236" t="n"/>
      <c r="K23" s="236" t="n"/>
      <c r="L23" s="236" t="n"/>
      <c r="M23" s="236" t="n"/>
      <c r="N23" s="236" t="n"/>
      <c r="O23" s="236" t="n"/>
      <c r="P23" s="236" t="n"/>
    </row>
    <row r="24">
      <c r="A24" s="236" t="inlineStr">
        <is>
          <t>Cómo terminan los análisis</t>
        </is>
      </c>
      <c r="B24" s="79" t="n">
        <v>1</v>
      </c>
      <c r="C24" s="68" t="n">
        <v>135</v>
      </c>
      <c r="D24" s="68">
        <f>C24*B24</f>
        <v/>
      </c>
      <c r="E24" s="76" t="n"/>
      <c r="F24" s="68">
        <f>E24+D24</f>
        <v/>
      </c>
      <c r="G24" s="69">
        <f>F24</f>
        <v/>
      </c>
      <c r="H24" s="70" t="n">
        <v>44992</v>
      </c>
      <c r="I24" s="79" t="inlineStr">
        <is>
          <t>PIX</t>
        </is>
      </c>
      <c r="J24" s="236" t="n"/>
      <c r="K24" s="236" t="n"/>
      <c r="L24" s="236" t="n"/>
      <c r="M24" s="236" t="n"/>
      <c r="N24" s="236" t="n"/>
      <c r="O24" s="236" t="n"/>
      <c r="P24" s="236" t="n"/>
    </row>
    <row r="25">
      <c r="A25" s="236" t="inlineStr">
        <is>
          <t>Desarraigados</t>
        </is>
      </c>
      <c r="B25" s="79" t="n">
        <v>2</v>
      </c>
      <c r="C25" s="68" t="n">
        <v>140</v>
      </c>
      <c r="D25" s="68">
        <f>C25*B25</f>
        <v/>
      </c>
      <c r="E25" s="76" t="n"/>
      <c r="F25" s="68">
        <f>E25+D25</f>
        <v/>
      </c>
      <c r="G25" s="69">
        <f>F25</f>
        <v/>
      </c>
      <c r="H25" s="70" t="n">
        <v>44993</v>
      </c>
      <c r="I25" s="79" t="inlineStr">
        <is>
          <t>PIX</t>
        </is>
      </c>
      <c r="J25" s="236" t="n"/>
      <c r="K25" s="236" t="n"/>
      <c r="L25" s="236" t="n"/>
      <c r="M25" s="236" t="n"/>
      <c r="N25" s="236" t="n"/>
      <c r="O25" s="236" t="n"/>
      <c r="P25" s="236" t="n"/>
    </row>
    <row r="26">
      <c r="A26" s="236" t="inlineStr">
        <is>
          <t>O campo uniano</t>
        </is>
      </c>
      <c r="B26" s="79" t="n">
        <v>1</v>
      </c>
      <c r="C26" s="68" t="n">
        <v>120</v>
      </c>
      <c r="D26" s="68">
        <f>C26*B26</f>
        <v/>
      </c>
      <c r="E26" s="76" t="n"/>
      <c r="F26" s="68">
        <f>E26+D26</f>
        <v/>
      </c>
      <c r="G26" s="69">
        <f>F26</f>
        <v/>
      </c>
      <c r="H26" s="70" t="n">
        <v>44993</v>
      </c>
      <c r="I26" s="79" t="inlineStr">
        <is>
          <t>PIX</t>
        </is>
      </c>
      <c r="J26" s="236" t="n"/>
      <c r="K26" s="236" t="n"/>
      <c r="L26" s="236" t="n"/>
      <c r="M26" s="236" t="n"/>
      <c r="N26" s="236" t="n"/>
      <c r="O26" s="236" t="n"/>
      <c r="P26" s="236" t="n"/>
    </row>
    <row r="27">
      <c r="A27" s="236" t="inlineStr">
        <is>
          <t>Desarraigados</t>
        </is>
      </c>
      <c r="B27" s="79" t="n">
        <v>3</v>
      </c>
      <c r="C27" s="68" t="n">
        <v>140</v>
      </c>
      <c r="D27" s="68">
        <f>C27*B27</f>
        <v/>
      </c>
      <c r="E27" s="76" t="n"/>
      <c r="F27" s="68">
        <f>E27+D27</f>
        <v/>
      </c>
      <c r="G27" s="69">
        <f>F27</f>
        <v/>
      </c>
      <c r="H27" s="70" t="n">
        <v>44993</v>
      </c>
      <c r="I27" s="79" t="inlineStr">
        <is>
          <t>PIX</t>
        </is>
      </c>
      <c r="J27" s="236" t="n"/>
      <c r="K27" s="236" t="n"/>
      <c r="L27" s="236" t="n"/>
      <c r="M27" s="236" t="n"/>
      <c r="N27" s="236" t="n"/>
      <c r="O27" s="236" t="n"/>
      <c r="P27" s="236" t="n"/>
    </row>
    <row r="28">
      <c r="A28" s="236" t="inlineStr">
        <is>
          <t>Desarraigados</t>
        </is>
      </c>
      <c r="B28" s="79" t="n">
        <v>1</v>
      </c>
      <c r="C28" s="68" t="n">
        <v>140</v>
      </c>
      <c r="D28" s="68">
        <f>C28*B28</f>
        <v/>
      </c>
      <c r="E28" s="76" t="n"/>
      <c r="F28" s="68">
        <f>E28+D28</f>
        <v/>
      </c>
      <c r="G28" s="69">
        <f>F28</f>
        <v/>
      </c>
      <c r="H28" s="70" t="n">
        <v>44993</v>
      </c>
      <c r="I28" s="79" t="inlineStr">
        <is>
          <t>PIX</t>
        </is>
      </c>
      <c r="J28" s="236" t="n"/>
      <c r="K28" s="236" t="n"/>
      <c r="L28" s="236" t="n"/>
      <c r="M28" s="236" t="n"/>
      <c r="N28" s="236" t="n"/>
      <c r="O28" s="236" t="n"/>
      <c r="P28" s="236" t="n"/>
    </row>
    <row r="29">
      <c r="A29" s="236" t="inlineStr">
        <is>
          <t>Desarraigados</t>
        </is>
      </c>
      <c r="B29" s="79" t="n">
        <v>1</v>
      </c>
      <c r="C29" s="68" t="n">
        <v>140</v>
      </c>
      <c r="D29" s="68">
        <f>C29*B29</f>
        <v/>
      </c>
      <c r="E29" s="76" t="n"/>
      <c r="F29" s="68">
        <f>E29+D29</f>
        <v/>
      </c>
      <c r="G29" s="69">
        <f>F29</f>
        <v/>
      </c>
      <c r="H29" s="70" t="n">
        <v>44994</v>
      </c>
      <c r="I29" s="79" t="inlineStr">
        <is>
          <t>PIX</t>
        </is>
      </c>
      <c r="J29" s="236" t="n"/>
      <c r="K29" s="236" t="n"/>
      <c r="L29" s="236" t="n"/>
      <c r="M29" s="236" t="n"/>
      <c r="N29" s="236" t="n"/>
      <c r="O29" s="236" t="n"/>
      <c r="P29" s="236" t="n"/>
    </row>
    <row r="30">
      <c r="A30" s="236" t="inlineStr">
        <is>
          <t>Desarraigados</t>
        </is>
      </c>
      <c r="B30" s="79" t="n">
        <v>1</v>
      </c>
      <c r="C30" s="68" t="n">
        <v>140</v>
      </c>
      <c r="D30" s="68">
        <f>C30*B30</f>
        <v/>
      </c>
      <c r="E30" s="76" t="n"/>
      <c r="F30" s="68">
        <f>E30+D30</f>
        <v/>
      </c>
      <c r="G30" s="69">
        <f>F30</f>
        <v/>
      </c>
      <c r="H30" s="70" t="n">
        <v>44994</v>
      </c>
      <c r="I30" s="79" t="inlineStr">
        <is>
          <t>PIX</t>
        </is>
      </c>
      <c r="J30" s="236" t="n"/>
      <c r="K30" s="236" t="n"/>
      <c r="L30" s="236" t="n"/>
      <c r="M30" s="236" t="n"/>
      <c r="N30" s="236" t="n"/>
      <c r="O30" s="236" t="n"/>
      <c r="P30" s="236" t="n"/>
    </row>
    <row r="31">
      <c r="A31" s="236" t="inlineStr">
        <is>
          <t>Ombligos</t>
        </is>
      </c>
      <c r="B31" s="79" t="n">
        <v>3</v>
      </c>
      <c r="C31" s="68" t="n">
        <v>69</v>
      </c>
      <c r="D31" s="68">
        <f>C31*B31</f>
        <v/>
      </c>
      <c r="E31" s="76" t="n"/>
      <c r="F31" s="68">
        <f>E31+D31+D32</f>
        <v/>
      </c>
      <c r="G31" s="69">
        <f>F31</f>
        <v/>
      </c>
      <c r="H31" s="70" t="n">
        <v>44995</v>
      </c>
      <c r="I31" s="79" t="inlineStr">
        <is>
          <t>PIX</t>
        </is>
      </c>
      <c r="J31" s="165" t="n"/>
      <c r="K31" s="165" t="n"/>
      <c r="L31" s="236" t="n"/>
      <c r="M31" s="236" t="n"/>
      <c r="N31" s="236" t="n"/>
      <c r="O31" s="236" t="n"/>
      <c r="P31" s="236" t="n"/>
    </row>
    <row r="32">
      <c r="A32" s="236" t="inlineStr">
        <is>
          <t>En los confindes del seminario</t>
        </is>
      </c>
      <c r="B32" s="79" t="n">
        <v>1</v>
      </c>
      <c r="C32" s="68" t="n">
        <v>110</v>
      </c>
      <c r="D32" s="68">
        <f>C32*B32</f>
        <v/>
      </c>
      <c r="E32" s="76" t="n"/>
      <c r="F32" s="340" t="n"/>
      <c r="G32" s="340" t="n"/>
      <c r="H32" s="340" t="n"/>
      <c r="I32" s="340" t="n"/>
      <c r="J32" s="340" t="n"/>
      <c r="K32" s="340" t="n"/>
      <c r="L32" s="236" t="n"/>
      <c r="M32" s="236" t="n"/>
      <c r="N32" s="236" t="n"/>
      <c r="O32" s="236" t="n"/>
      <c r="P32" s="236" t="n"/>
    </row>
    <row r="33">
      <c r="A33" s="236" t="inlineStr">
        <is>
          <t>O Feminino In-familiar</t>
        </is>
      </c>
      <c r="B33" s="79" t="n">
        <v>1</v>
      </c>
      <c r="C33" s="68" t="n">
        <v>55</v>
      </c>
      <c r="D33" s="68">
        <f>C33*B33</f>
        <v/>
      </c>
      <c r="E33" s="76" t="n"/>
      <c r="F33" s="68">
        <f>E33+D33</f>
        <v/>
      </c>
      <c r="G33" s="69">
        <f>F33</f>
        <v/>
      </c>
      <c r="H33" s="70" t="n">
        <v>44999</v>
      </c>
      <c r="I33" s="79" t="inlineStr">
        <is>
          <t>PIX</t>
        </is>
      </c>
      <c r="J33" s="236" t="n"/>
      <c r="K33" s="79" t="n"/>
      <c r="L33" s="236" t="n"/>
      <c r="M33" s="236" t="n"/>
      <c r="N33" s="236" t="n"/>
      <c r="O33" s="236" t="n"/>
      <c r="P33" s="236" t="n"/>
    </row>
    <row r="34">
      <c r="A34" s="236" t="inlineStr">
        <is>
          <t>El Nacimiento del Campo Freudiano</t>
        </is>
      </c>
      <c r="B34" s="79" t="n">
        <v>1</v>
      </c>
      <c r="C34" s="68" t="n">
        <v>180</v>
      </c>
      <c r="D34" s="68">
        <f>C34*B34</f>
        <v/>
      </c>
      <c r="E34" s="76" t="n"/>
      <c r="F34" s="87">
        <f>E34+D34</f>
        <v/>
      </c>
      <c r="G34" s="69">
        <f>F34</f>
        <v/>
      </c>
      <c r="H34" s="70" t="n">
        <v>45006</v>
      </c>
      <c r="I34" s="79" t="inlineStr">
        <is>
          <t>PIX</t>
        </is>
      </c>
      <c r="J34" s="236" t="n"/>
      <c r="K34" s="236" t="n"/>
      <c r="L34" s="236" t="n"/>
      <c r="M34" s="236" t="n"/>
      <c r="N34" s="236" t="n"/>
      <c r="O34" s="236" t="n"/>
      <c r="P34" s="236" t="n"/>
    </row>
    <row r="35">
      <c r="A35" s="236" t="inlineStr">
        <is>
          <t>El Nacimiento del Campo Freudiano</t>
        </is>
      </c>
      <c r="B35" s="79" t="n">
        <v>1</v>
      </c>
      <c r="C35" s="68" t="n">
        <v>180</v>
      </c>
      <c r="D35" s="68">
        <f>C35*B35</f>
        <v/>
      </c>
      <c r="E35" s="76" t="n"/>
      <c r="F35" s="87">
        <f>E35+D35</f>
        <v/>
      </c>
      <c r="G35" s="69">
        <f>F35</f>
        <v/>
      </c>
      <c r="H35" s="70" t="n">
        <v>45006</v>
      </c>
      <c r="I35" s="79" t="inlineStr">
        <is>
          <t>PIX</t>
        </is>
      </c>
      <c r="J35" s="236" t="n"/>
      <c r="K35" s="236" t="n"/>
      <c r="L35" s="236" t="n"/>
      <c r="M35" s="236" t="n"/>
      <c r="N35" s="236" t="n"/>
      <c r="O35" s="236" t="n"/>
      <c r="P35" s="236" t="n"/>
    </row>
    <row r="36">
      <c r="A36" s="236" t="inlineStr">
        <is>
          <t>El Nacimiento del Campo Freudiano</t>
        </is>
      </c>
      <c r="B36" s="79" t="n">
        <v>1</v>
      </c>
      <c r="C36" s="68" t="n">
        <v>180</v>
      </c>
      <c r="D36" s="68">
        <f>C36*B36</f>
        <v/>
      </c>
      <c r="E36" s="76" t="n"/>
      <c r="F36" s="87">
        <f>E36+D36</f>
        <v/>
      </c>
      <c r="G36" s="69">
        <f>F36</f>
        <v/>
      </c>
      <c r="H36" s="70" t="n">
        <v>45006</v>
      </c>
      <c r="I36" s="79" t="inlineStr">
        <is>
          <t>PIX</t>
        </is>
      </c>
      <c r="J36" s="236" t="n"/>
      <c r="K36" s="236" t="n"/>
      <c r="L36" s="236" t="n"/>
      <c r="M36" s="236" t="n"/>
      <c r="N36" s="236" t="n"/>
      <c r="O36" s="236" t="n"/>
      <c r="P36" s="236" t="n"/>
    </row>
    <row r="37">
      <c r="A37" s="236" t="inlineStr">
        <is>
          <t>El Nacimiento del Campo Freudiano</t>
        </is>
      </c>
      <c r="B37" s="79" t="n">
        <v>1</v>
      </c>
      <c r="C37" s="68" t="n">
        <v>180</v>
      </c>
      <c r="D37" s="68">
        <f>C37*B37</f>
        <v/>
      </c>
      <c r="E37" s="76" t="n"/>
      <c r="F37" s="87">
        <f>E37+D37</f>
        <v/>
      </c>
      <c r="G37" s="69">
        <f>F37</f>
        <v/>
      </c>
      <c r="H37" s="70" t="n">
        <v>45006</v>
      </c>
      <c r="I37" s="79" t="inlineStr">
        <is>
          <t>PIX</t>
        </is>
      </c>
      <c r="J37" s="236" t="n"/>
      <c r="K37" s="236" t="n"/>
      <c r="L37" s="236" t="n"/>
      <c r="M37" s="236" t="n"/>
      <c r="N37" s="236" t="n"/>
      <c r="O37" s="236" t="n"/>
      <c r="P37" s="236" t="n"/>
    </row>
    <row r="38">
      <c r="A38" s="236" t="inlineStr">
        <is>
          <t>El Nacimiento del Campo Freudiano</t>
        </is>
      </c>
      <c r="B38" s="79" t="n">
        <v>1</v>
      </c>
      <c r="C38" s="68" t="n">
        <v>180</v>
      </c>
      <c r="D38" s="68">
        <f>C38*B38</f>
        <v/>
      </c>
      <c r="E38" s="76" t="n"/>
      <c r="F38" s="87">
        <f>E38+D38</f>
        <v/>
      </c>
      <c r="G38" s="69">
        <f>F38</f>
        <v/>
      </c>
      <c r="H38" s="70" t="n">
        <v>45006</v>
      </c>
      <c r="I38" s="79" t="inlineStr">
        <is>
          <t>PIX</t>
        </is>
      </c>
      <c r="J38" s="236" t="n"/>
      <c r="K38" s="236" t="n"/>
      <c r="L38" s="236" t="n"/>
      <c r="M38" s="236" t="n"/>
      <c r="N38" s="236" t="n"/>
      <c r="O38" s="236" t="n"/>
      <c r="P38" s="236" t="n"/>
    </row>
    <row r="39">
      <c r="A39" s="236" t="inlineStr">
        <is>
          <t>El Nacimiento del Campo Freudiano</t>
        </is>
      </c>
      <c r="B39" s="79" t="n">
        <v>5</v>
      </c>
      <c r="C39" s="68" t="n">
        <v>180</v>
      </c>
      <c r="D39" s="68">
        <f>C39*B39</f>
        <v/>
      </c>
      <c r="E39" s="76" t="n"/>
      <c r="F39" s="87">
        <f>E39+D39</f>
        <v/>
      </c>
      <c r="G39" s="69">
        <f>F39</f>
        <v/>
      </c>
      <c r="H39" s="70" t="n">
        <v>45006</v>
      </c>
      <c r="I39" s="79" t="inlineStr">
        <is>
          <t>PIX</t>
        </is>
      </c>
      <c r="J39" s="236" t="n"/>
      <c r="K39" s="236" t="n"/>
      <c r="L39" s="236" t="n"/>
      <c r="M39" s="236" t="n"/>
      <c r="N39" s="236" t="n"/>
      <c r="O39" s="236" t="n"/>
      <c r="P39" s="236" t="n"/>
    </row>
    <row r="40">
      <c r="A40" s="236" t="inlineStr">
        <is>
          <t>El Nacimiento del Campo Freudiano</t>
        </is>
      </c>
      <c r="B40" s="79" t="n">
        <v>1</v>
      </c>
      <c r="C40" s="68" t="n">
        <v>180</v>
      </c>
      <c r="D40" s="68">
        <f>C40*B40</f>
        <v/>
      </c>
      <c r="E40" s="76" t="n"/>
      <c r="F40" s="87">
        <f>E40+D40</f>
        <v/>
      </c>
      <c r="G40" s="69">
        <f>F40</f>
        <v/>
      </c>
      <c r="H40" s="70" t="n">
        <v>45006</v>
      </c>
      <c r="I40" s="79" t="inlineStr">
        <is>
          <t>PIX</t>
        </is>
      </c>
      <c r="J40" s="236" t="n"/>
      <c r="K40" s="236" t="n"/>
      <c r="L40" s="236" t="n"/>
      <c r="M40" s="236" t="n"/>
      <c r="N40" s="236" t="n"/>
      <c r="O40" s="236" t="n"/>
      <c r="P40" s="236" t="n"/>
    </row>
    <row r="41">
      <c r="A41" s="236" t="inlineStr">
        <is>
          <t>El Nacimiento del Campo Freudiano</t>
        </is>
      </c>
      <c r="B41" s="79" t="n">
        <v>1</v>
      </c>
      <c r="C41" s="68" t="n">
        <v>180</v>
      </c>
      <c r="D41" s="68">
        <f>C41*B41</f>
        <v/>
      </c>
      <c r="E41" s="76" t="n"/>
      <c r="F41" s="87">
        <f>E41+D41</f>
        <v/>
      </c>
      <c r="G41" s="69">
        <f>F41</f>
        <v/>
      </c>
      <c r="H41" s="70" t="n">
        <v>45006</v>
      </c>
      <c r="I41" s="79" t="inlineStr">
        <is>
          <t>PIX</t>
        </is>
      </c>
      <c r="J41" s="236" t="n"/>
      <c r="K41" s="236" t="n"/>
      <c r="L41" s="236" t="n"/>
      <c r="M41" s="236" t="n"/>
      <c r="N41" s="236" t="n"/>
      <c r="O41" s="236" t="n"/>
      <c r="P41" s="236" t="n"/>
    </row>
    <row r="42">
      <c r="A42" s="236" t="inlineStr">
        <is>
          <t>El Nacimiento del Campo Freudiano</t>
        </is>
      </c>
      <c r="B42" s="79" t="n">
        <v>1</v>
      </c>
      <c r="C42" s="68" t="n">
        <v>180</v>
      </c>
      <c r="D42" s="68">
        <f>C42*B42</f>
        <v/>
      </c>
      <c r="E42" s="76" t="n"/>
      <c r="F42" s="87">
        <f>E42+D42</f>
        <v/>
      </c>
      <c r="G42" s="69">
        <f>F42</f>
        <v/>
      </c>
      <c r="H42" s="70" t="n">
        <v>45007</v>
      </c>
      <c r="I42" s="79" t="inlineStr">
        <is>
          <t>PIX</t>
        </is>
      </c>
      <c r="J42" s="236" t="n"/>
      <c r="K42" s="79" t="n"/>
      <c r="L42" s="236" t="n"/>
      <c r="M42" s="236" t="n"/>
      <c r="N42" s="236" t="n"/>
      <c r="O42" s="236" t="n"/>
      <c r="P42" s="236" t="n"/>
    </row>
    <row r="43">
      <c r="A43" s="236" t="inlineStr">
        <is>
          <t>Anorexia, Bulimia y otros transtornos de la conducta alimentaria</t>
        </is>
      </c>
      <c r="B43" s="79" t="n">
        <v>1</v>
      </c>
      <c r="C43" s="68" t="n">
        <v>50</v>
      </c>
      <c r="D43" s="68">
        <f>C43*B43</f>
        <v/>
      </c>
      <c r="E43" s="117" t="n"/>
      <c r="F43" s="87">
        <f>E43+D43+D44</f>
        <v/>
      </c>
      <c r="G43" s="69">
        <f>F43</f>
        <v/>
      </c>
      <c r="H43" s="70" t="n">
        <v>45007</v>
      </c>
      <c r="I43" s="79" t="inlineStr">
        <is>
          <t>PIX</t>
        </is>
      </c>
      <c r="J43" s="165" t="n"/>
      <c r="K43" s="165" t="n"/>
      <c r="L43" s="236" t="n"/>
      <c r="M43" s="236" t="n"/>
      <c r="N43" s="236" t="n"/>
      <c r="O43" s="236" t="n"/>
      <c r="P43" s="236" t="n"/>
    </row>
    <row r="44">
      <c r="A44" s="236" t="inlineStr">
        <is>
          <t>Sueños y Despertares</t>
        </is>
      </c>
      <c r="B44" s="79" t="n">
        <v>7</v>
      </c>
      <c r="C44" s="68" t="n">
        <v>50</v>
      </c>
      <c r="D44" s="68">
        <f>C44*B44</f>
        <v/>
      </c>
      <c r="E44" s="340" t="n"/>
      <c r="F44" s="340" t="n"/>
      <c r="G44" s="340" t="n"/>
      <c r="H44" s="340" t="n"/>
      <c r="I44" s="340" t="n"/>
      <c r="J44" s="340" t="n"/>
      <c r="K44" s="340" t="n"/>
      <c r="L44" s="236" t="n"/>
      <c r="M44" s="236" t="n"/>
      <c r="N44" s="236" t="n"/>
      <c r="O44" s="236" t="n"/>
      <c r="P44" s="236" t="n"/>
    </row>
    <row r="45">
      <c r="A45" s="236" t="inlineStr">
        <is>
          <t>El objeto a em la experiencia analítica</t>
        </is>
      </c>
      <c r="B45" s="79" t="n">
        <v>1</v>
      </c>
      <c r="C45" s="68" t="n">
        <v>110</v>
      </c>
      <c r="D45" s="68">
        <f>C45*B45</f>
        <v/>
      </c>
      <c r="E45" s="90" t="n"/>
      <c r="F45" s="87">
        <f>E45+D45</f>
        <v/>
      </c>
      <c r="G45" s="69">
        <f>F45</f>
        <v/>
      </c>
      <c r="H45" s="91" t="n">
        <v>45007</v>
      </c>
      <c r="I45" s="93" t="inlineStr">
        <is>
          <t>PIX</t>
        </is>
      </c>
      <c r="J45" s="94" t="n"/>
      <c r="K45" s="94" t="n"/>
      <c r="L45" s="236" t="n"/>
      <c r="M45" s="236" t="n"/>
      <c r="N45" s="236" t="n"/>
      <c r="O45" s="236" t="n"/>
      <c r="P45" s="236" t="n"/>
    </row>
    <row r="46">
      <c r="A46" s="236" t="inlineStr">
        <is>
          <t>El Nacimiento del Campo Freudiano</t>
        </is>
      </c>
      <c r="B46" s="79" t="n">
        <v>1</v>
      </c>
      <c r="C46" s="68" t="n">
        <v>180</v>
      </c>
      <c r="D46" s="68">
        <f>C46*B46</f>
        <v/>
      </c>
      <c r="E46" s="76" t="n"/>
      <c r="F46" s="87">
        <f>E46+D46</f>
        <v/>
      </c>
      <c r="G46" s="69">
        <f>F46</f>
        <v/>
      </c>
      <c r="H46" s="70" t="n">
        <v>45007</v>
      </c>
      <c r="I46" s="79" t="inlineStr">
        <is>
          <t>PIX</t>
        </is>
      </c>
      <c r="J46" s="236" t="n"/>
      <c r="K46" s="236" t="n"/>
      <c r="L46" s="236" t="n"/>
      <c r="M46" s="236" t="n"/>
      <c r="N46" s="236" t="n"/>
      <c r="O46" s="236" t="n"/>
      <c r="P46" s="236" t="n"/>
    </row>
    <row r="47">
      <c r="A47" s="236" t="inlineStr">
        <is>
          <t>El objeto a em la experiencia analítica</t>
        </is>
      </c>
      <c r="B47" s="79" t="n">
        <v>1</v>
      </c>
      <c r="C47" s="68" t="n">
        <v>110</v>
      </c>
      <c r="D47" s="68">
        <f>C47*B47</f>
        <v/>
      </c>
      <c r="E47" s="76" t="n"/>
      <c r="F47" s="87">
        <f>E47+D47</f>
        <v/>
      </c>
      <c r="G47" s="69">
        <f>F47</f>
        <v/>
      </c>
      <c r="H47" s="70" t="n">
        <v>45007</v>
      </c>
      <c r="I47" s="79" t="inlineStr">
        <is>
          <t>PIX</t>
        </is>
      </c>
      <c r="J47" s="236" t="n"/>
      <c r="K47" s="236" t="n"/>
      <c r="L47" s="236" t="n"/>
      <c r="M47" s="236" t="n"/>
      <c r="N47" s="236" t="n"/>
      <c r="O47" s="236" t="n"/>
      <c r="P47" s="236" t="n"/>
    </row>
    <row r="48">
      <c r="A48" s="236" t="inlineStr">
        <is>
          <t>El Nacimiento del Campo Freudiano</t>
        </is>
      </c>
      <c r="B48" s="79" t="n">
        <v>1</v>
      </c>
      <c r="C48" s="68" t="n">
        <v>180</v>
      </c>
      <c r="D48" s="68">
        <f>C48*B48</f>
        <v/>
      </c>
      <c r="E48" s="117" t="n"/>
      <c r="F48" s="87">
        <f>E48+D48+D49</f>
        <v/>
      </c>
      <c r="G48" s="69">
        <f>F48</f>
        <v/>
      </c>
      <c r="H48" s="70" t="n">
        <v>45007</v>
      </c>
      <c r="I48" s="79" t="inlineStr">
        <is>
          <t>PIX</t>
        </is>
      </c>
      <c r="J48" s="165" t="n"/>
      <c r="K48" s="165" t="n"/>
      <c r="L48" s="236" t="n"/>
      <c r="M48" s="236" t="n"/>
      <c r="N48" s="236" t="n"/>
      <c r="O48" s="236" t="n"/>
      <c r="P48" s="236" t="n"/>
    </row>
    <row r="49">
      <c r="A49" s="236" t="inlineStr">
        <is>
          <t>Taxa Envio</t>
        </is>
      </c>
      <c r="B49" s="79" t="n">
        <v>5</v>
      </c>
      <c r="C49" s="68" t="n">
        <v>15</v>
      </c>
      <c r="D49" s="68">
        <f>C49*B49</f>
        <v/>
      </c>
      <c r="E49" s="340" t="n"/>
      <c r="F49" s="340" t="n"/>
      <c r="G49" s="340" t="n"/>
      <c r="H49" s="340" t="n"/>
      <c r="I49" s="340" t="n"/>
      <c r="J49" s="340" t="n"/>
      <c r="K49" s="340" t="n"/>
      <c r="L49" s="236" t="n"/>
      <c r="M49" s="236" t="n"/>
      <c r="N49" s="236" t="n"/>
      <c r="O49" s="236" t="n"/>
      <c r="P49" s="236" t="n"/>
    </row>
    <row r="50">
      <c r="A50" s="236" t="inlineStr">
        <is>
          <t>El Nacimiento del Campo Freudiano</t>
        </is>
      </c>
      <c r="B50" s="79" t="n">
        <v>1</v>
      </c>
      <c r="C50" s="68" t="n">
        <v>180</v>
      </c>
      <c r="D50" s="68">
        <f>C50*B50</f>
        <v/>
      </c>
      <c r="E50" s="76" t="n"/>
      <c r="F50" s="87">
        <f>E50+D50</f>
        <v/>
      </c>
      <c r="G50" s="69">
        <f>F50</f>
        <v/>
      </c>
      <c r="H50" s="70" t="n">
        <v>45007</v>
      </c>
      <c r="I50" s="79" t="inlineStr">
        <is>
          <t>PIX</t>
        </is>
      </c>
      <c r="J50" s="236" t="n"/>
      <c r="K50" s="236" t="n"/>
      <c r="L50" s="236" t="n"/>
      <c r="M50" s="236" t="n"/>
      <c r="N50" s="236" t="n"/>
      <c r="O50" s="236" t="n"/>
      <c r="P50" s="236" t="n"/>
    </row>
    <row r="51">
      <c r="A51" s="236" t="inlineStr">
        <is>
          <t>El Nacimiento del Campo Freudiano</t>
        </is>
      </c>
      <c r="B51" s="79" t="n">
        <v>1</v>
      </c>
      <c r="C51" s="68" t="n">
        <v>180</v>
      </c>
      <c r="D51" s="68">
        <f>C51*B51</f>
        <v/>
      </c>
      <c r="E51" s="76" t="n"/>
      <c r="F51" s="89">
        <f>D51</f>
        <v/>
      </c>
      <c r="G51" s="82">
        <f>F51</f>
        <v/>
      </c>
      <c r="H51" s="83" t="n">
        <v>45007</v>
      </c>
      <c r="I51" s="86" t="inlineStr">
        <is>
          <t>PIX</t>
        </is>
      </c>
      <c r="J51" s="84" t="n"/>
      <c r="K51" s="84" t="n"/>
      <c r="L51" s="236" t="n"/>
      <c r="M51" s="236" t="n"/>
      <c r="N51" s="236" t="n"/>
      <c r="O51" s="236" t="n"/>
      <c r="P51" s="236" t="n"/>
    </row>
    <row r="52">
      <c r="A52" s="236" t="inlineStr">
        <is>
          <t>Desarraigados</t>
        </is>
      </c>
      <c r="B52" s="79" t="n">
        <v>1</v>
      </c>
      <c r="C52" s="68" t="n">
        <v>160</v>
      </c>
      <c r="D52" s="68">
        <f>C52*B52</f>
        <v/>
      </c>
      <c r="E52" s="76" t="n"/>
      <c r="F52" s="87">
        <f>E52+D52</f>
        <v/>
      </c>
      <c r="G52" s="69">
        <f>F52</f>
        <v/>
      </c>
      <c r="H52" s="70" t="n">
        <v>45007</v>
      </c>
      <c r="I52" s="79" t="inlineStr">
        <is>
          <t>PIX</t>
        </is>
      </c>
      <c r="J52" s="236" t="n"/>
      <c r="K52" s="236" t="n"/>
      <c r="L52" s="236" t="n"/>
      <c r="M52" s="236" t="n"/>
      <c r="N52" s="236" t="n"/>
      <c r="O52" s="236" t="n"/>
      <c r="P52" s="236" t="n"/>
    </row>
    <row r="53">
      <c r="A53" s="236" t="inlineStr">
        <is>
          <t>El objeto a em la experiencia analítica</t>
        </is>
      </c>
      <c r="B53" s="79" t="n">
        <v>1</v>
      </c>
      <c r="C53" s="68" t="n">
        <v>110</v>
      </c>
      <c r="D53" s="68">
        <f>C53*B53</f>
        <v/>
      </c>
      <c r="E53" s="76" t="n"/>
      <c r="F53" s="87">
        <f>E53+D53</f>
        <v/>
      </c>
      <c r="G53" s="69">
        <f>F53</f>
        <v/>
      </c>
      <c r="H53" s="70" t="n">
        <v>45007</v>
      </c>
      <c r="I53" s="79" t="inlineStr">
        <is>
          <t>PIX</t>
        </is>
      </c>
      <c r="J53" s="236" t="n"/>
      <c r="K53" s="236" t="n"/>
      <c r="L53" s="236" t="n"/>
      <c r="M53" s="236" t="n"/>
      <c r="N53" s="236" t="n"/>
      <c r="O53" s="236" t="n"/>
      <c r="P53" s="236" t="n"/>
    </row>
    <row r="54">
      <c r="A54" s="236" t="inlineStr">
        <is>
          <t>El objeto a em la experiencia analítica</t>
        </is>
      </c>
      <c r="B54" s="79" t="n">
        <v>2</v>
      </c>
      <c r="C54" s="68" t="n">
        <v>110</v>
      </c>
      <c r="D54" s="68">
        <f>C54*B54</f>
        <v/>
      </c>
      <c r="E54" s="76" t="n"/>
      <c r="F54" s="87">
        <f>E54+D54</f>
        <v/>
      </c>
      <c r="G54" s="69">
        <f>F54</f>
        <v/>
      </c>
      <c r="H54" s="70" t="n">
        <v>45007</v>
      </c>
      <c r="I54" s="79" t="inlineStr">
        <is>
          <t>PIX</t>
        </is>
      </c>
      <c r="J54" s="236" t="n"/>
      <c r="K54" s="236" t="n"/>
      <c r="L54" s="236" t="n"/>
      <c r="M54" s="236" t="n"/>
      <c r="N54" s="236" t="n"/>
      <c r="O54" s="236" t="n"/>
      <c r="P54" s="236" t="n"/>
    </row>
    <row r="55">
      <c r="A55" s="236" t="inlineStr">
        <is>
          <t>El objeto a em la experiencia analítica</t>
        </is>
      </c>
      <c r="B55" s="79" t="n">
        <v>1</v>
      </c>
      <c r="C55" s="68" t="n">
        <v>110</v>
      </c>
      <c r="D55" s="68">
        <f>C55*B55</f>
        <v/>
      </c>
      <c r="E55" s="76" t="n"/>
      <c r="F55" s="87">
        <f>E55+D55</f>
        <v/>
      </c>
      <c r="G55" s="69">
        <f>F55</f>
        <v/>
      </c>
      <c r="H55" s="70" t="n">
        <v>45007</v>
      </c>
      <c r="I55" s="79" t="inlineStr">
        <is>
          <t>PIX</t>
        </is>
      </c>
      <c r="J55" s="236" t="n"/>
      <c r="K55" s="236" t="n"/>
      <c r="L55" s="236" t="n"/>
      <c r="M55" s="236" t="n"/>
      <c r="N55" s="236" t="n"/>
      <c r="O55" s="236" t="n"/>
      <c r="P55" s="236" t="n"/>
    </row>
    <row r="56">
      <c r="A56" s="236" t="inlineStr">
        <is>
          <t>El Nacimiento del Campo Freudiano</t>
        </is>
      </c>
      <c r="B56" s="79" t="n">
        <v>1</v>
      </c>
      <c r="C56" s="68" t="n">
        <v>180</v>
      </c>
      <c r="D56" s="68">
        <f>C56*B56</f>
        <v/>
      </c>
      <c r="E56" s="76" t="n"/>
      <c r="F56" s="87">
        <f>E56+D56</f>
        <v/>
      </c>
      <c r="G56" s="69">
        <f>F56+D57</f>
        <v/>
      </c>
      <c r="H56" s="70" t="n">
        <v>45008</v>
      </c>
      <c r="I56" s="79" t="inlineStr">
        <is>
          <t>PIX</t>
        </is>
      </c>
      <c r="J56" s="165" t="n"/>
      <c r="K56" s="165" t="n"/>
      <c r="L56" s="236" t="n"/>
      <c r="M56" s="236" t="n"/>
      <c r="N56" s="236" t="n"/>
      <c r="O56" s="236" t="n"/>
      <c r="P56" s="236" t="n"/>
    </row>
    <row r="57">
      <c r="A57" s="236" t="inlineStr">
        <is>
          <t>El objeto a em la experiencia analítica</t>
        </is>
      </c>
      <c r="B57" s="79" t="n">
        <v>10</v>
      </c>
      <c r="C57" s="68" t="n">
        <v>110</v>
      </c>
      <c r="D57" s="68">
        <f>C57*B57</f>
        <v/>
      </c>
      <c r="E57" s="76" t="n"/>
      <c r="F57" s="340" t="n"/>
      <c r="G57" s="340" t="n"/>
      <c r="H57" s="340" t="n"/>
      <c r="I57" s="340" t="n"/>
      <c r="J57" s="340" t="n"/>
      <c r="K57" s="340" t="n"/>
      <c r="L57" s="236" t="n"/>
      <c r="M57" s="236" t="n"/>
      <c r="N57" s="236" t="n"/>
      <c r="O57" s="236" t="n"/>
      <c r="P57" s="236" t="n"/>
    </row>
    <row r="58">
      <c r="A58" s="236" t="inlineStr">
        <is>
          <t>El Nacimiento del Campo Freudiano</t>
        </is>
      </c>
      <c r="B58" s="79" t="n">
        <v>1</v>
      </c>
      <c r="C58" s="68" t="n">
        <v>180</v>
      </c>
      <c r="D58" s="68">
        <f>C58*B58</f>
        <v/>
      </c>
      <c r="E58" s="117" t="n"/>
      <c r="F58" s="87">
        <f>E58+D58+D59</f>
        <v/>
      </c>
      <c r="G58" s="69">
        <f>F58</f>
        <v/>
      </c>
      <c r="H58" s="70" t="n">
        <v>45008</v>
      </c>
      <c r="I58" s="79" t="inlineStr">
        <is>
          <t>PIX</t>
        </is>
      </c>
      <c r="J58" s="165" t="n"/>
      <c r="K58" s="165" t="n"/>
      <c r="L58" s="236" t="n"/>
      <c r="M58" s="236" t="n"/>
      <c r="N58" s="236" t="n"/>
      <c r="O58" s="236" t="n"/>
      <c r="P58" s="236" t="n"/>
    </row>
    <row r="59">
      <c r="A59" s="236" t="inlineStr">
        <is>
          <t>El objeto a em la experiencia analítica</t>
        </is>
      </c>
      <c r="B59" s="79" t="n">
        <v>1</v>
      </c>
      <c r="C59" s="68" t="n">
        <v>100</v>
      </c>
      <c r="D59" s="68">
        <f>C59*B59</f>
        <v/>
      </c>
      <c r="E59" s="340" t="n"/>
      <c r="F59" s="340" t="n"/>
      <c r="G59" s="340" t="n"/>
      <c r="H59" s="340" t="n"/>
      <c r="I59" s="340" t="n"/>
      <c r="J59" s="340" t="n"/>
      <c r="K59" s="340" t="n"/>
      <c r="L59" s="236" t="n"/>
      <c r="M59" s="236" t="n"/>
      <c r="N59" s="236" t="n"/>
      <c r="O59" s="236" t="n"/>
      <c r="P59" s="236" t="n"/>
    </row>
    <row r="60">
      <c r="A60" s="236" t="inlineStr">
        <is>
          <t>El objeto a em la experiencia analítica</t>
        </is>
      </c>
      <c r="B60" s="79" t="n">
        <v>1</v>
      </c>
      <c r="C60" s="68" t="n">
        <v>110</v>
      </c>
      <c r="D60" s="68">
        <f>C60*B60</f>
        <v/>
      </c>
      <c r="E60" s="90" t="n"/>
      <c r="F60" s="99">
        <f>D60</f>
        <v/>
      </c>
      <c r="G60" s="100">
        <f>F60</f>
        <v/>
      </c>
      <c r="H60" s="91" t="n">
        <v>45008</v>
      </c>
      <c r="I60" s="93" t="inlineStr">
        <is>
          <t>PIX</t>
        </is>
      </c>
      <c r="J60" s="94" t="n"/>
      <c r="K60" s="94" t="n"/>
      <c r="L60" s="236" t="n"/>
      <c r="M60" s="236" t="n"/>
      <c r="N60" s="236" t="n"/>
      <c r="O60" s="236" t="n"/>
      <c r="P60" s="236" t="n"/>
    </row>
    <row r="61">
      <c r="A61" s="236" t="inlineStr">
        <is>
          <t>Valor divergente</t>
        </is>
      </c>
      <c r="B61" s="79" t="n">
        <v>1</v>
      </c>
      <c r="C61" s="68" t="n">
        <v>10</v>
      </c>
      <c r="D61" s="68">
        <f>C61*B61</f>
        <v/>
      </c>
      <c r="E61" s="90" t="n"/>
      <c r="F61" s="99">
        <f>D61</f>
        <v/>
      </c>
      <c r="G61" s="100">
        <f>F61</f>
        <v/>
      </c>
      <c r="H61" s="91" t="n">
        <v>45008</v>
      </c>
      <c r="I61" s="93" t="inlineStr">
        <is>
          <t>PIX</t>
        </is>
      </c>
      <c r="J61" s="94" t="n"/>
      <c r="K61" s="94" t="n"/>
      <c r="L61" s="236" t="n"/>
      <c r="M61" s="236" t="n"/>
      <c r="N61" s="236" t="n"/>
      <c r="O61" s="236" t="n"/>
      <c r="P61" s="236" t="n"/>
    </row>
    <row r="62">
      <c r="A62" s="236" t="inlineStr">
        <is>
          <t>Taxa Envio</t>
        </is>
      </c>
      <c r="B62" s="79" t="n">
        <v>1</v>
      </c>
      <c r="C62" s="68" t="n">
        <v>12</v>
      </c>
      <c r="D62" s="68">
        <f>C62*B62</f>
        <v/>
      </c>
      <c r="E62" s="90" t="n"/>
      <c r="F62" s="99">
        <f>D62</f>
        <v/>
      </c>
      <c r="G62" s="100">
        <f>F62</f>
        <v/>
      </c>
      <c r="H62" s="91" t="n">
        <v>45008</v>
      </c>
      <c r="I62" s="93" t="inlineStr">
        <is>
          <t>PIX</t>
        </is>
      </c>
      <c r="J62" s="94" t="n"/>
      <c r="K62" s="94" t="n"/>
      <c r="L62" s="236" t="n"/>
      <c r="M62" s="236" t="n"/>
      <c r="N62" s="236" t="n"/>
      <c r="O62" s="236" t="n"/>
      <c r="P62" s="236" t="n"/>
    </row>
    <row r="63">
      <c r="A63" s="236" t="inlineStr">
        <is>
          <t>El objeto a em la experiencia analítica</t>
        </is>
      </c>
      <c r="B63" s="79" t="n">
        <v>1</v>
      </c>
      <c r="C63" s="68" t="n">
        <v>110</v>
      </c>
      <c r="D63" s="68">
        <f>C63*B63</f>
        <v/>
      </c>
      <c r="E63" s="117" t="n"/>
      <c r="F63" s="87">
        <f>D63+D64</f>
        <v/>
      </c>
      <c r="G63" s="69">
        <f>F63</f>
        <v/>
      </c>
      <c r="H63" s="70" t="n">
        <v>45008</v>
      </c>
      <c r="I63" s="79" t="inlineStr">
        <is>
          <t>PIX</t>
        </is>
      </c>
      <c r="J63" s="165" t="n"/>
      <c r="K63" s="165" t="n"/>
      <c r="L63" s="236" t="n"/>
      <c r="M63" s="236" t="n"/>
      <c r="N63" s="236" t="n"/>
      <c r="O63" s="236" t="n"/>
      <c r="P63" s="236" t="n"/>
    </row>
    <row r="64">
      <c r="A64" s="236" t="inlineStr">
        <is>
          <t>O campo uniano</t>
        </is>
      </c>
      <c r="B64" s="79" t="n">
        <v>1</v>
      </c>
      <c r="C64" s="68" t="n">
        <v>120</v>
      </c>
      <c r="D64" s="68">
        <f>C64*B64</f>
        <v/>
      </c>
      <c r="E64" s="340" t="n"/>
      <c r="F64" s="340" t="n"/>
      <c r="G64" s="340" t="n"/>
      <c r="H64" s="340" t="n"/>
      <c r="I64" s="340" t="n"/>
      <c r="J64" s="340" t="n"/>
      <c r="K64" s="340" t="n"/>
      <c r="L64" s="236" t="n"/>
      <c r="M64" s="236" t="n"/>
      <c r="N64" s="236" t="n"/>
      <c r="O64" s="236" t="n"/>
      <c r="P64" s="236" t="n"/>
    </row>
    <row r="65">
      <c r="A65" s="236" t="inlineStr">
        <is>
          <t>El objeto a em la experiencia analítica</t>
        </is>
      </c>
      <c r="B65" s="79" t="n">
        <v>1</v>
      </c>
      <c r="C65" s="68" t="n">
        <v>110</v>
      </c>
      <c r="D65" s="68">
        <f>C65*B65</f>
        <v/>
      </c>
      <c r="E65" s="90" t="n"/>
      <c r="F65" s="87">
        <f>E65+D65</f>
        <v/>
      </c>
      <c r="G65" s="69">
        <f>F65</f>
        <v/>
      </c>
      <c r="H65" s="91" t="n">
        <v>45008</v>
      </c>
      <c r="I65" s="93" t="inlineStr">
        <is>
          <t>PIX</t>
        </is>
      </c>
      <c r="J65" s="94" t="n"/>
      <c r="K65" s="94" t="n"/>
      <c r="L65" s="236" t="n"/>
      <c r="M65" s="236" t="n"/>
      <c r="N65" s="236" t="n"/>
      <c r="O65" s="236" t="n"/>
      <c r="P65" s="236" t="n"/>
    </row>
    <row r="66">
      <c r="A66" s="236" t="inlineStr">
        <is>
          <t>El objeto a em la experiencia analítica</t>
        </is>
      </c>
      <c r="B66" s="79" t="n">
        <v>1</v>
      </c>
      <c r="C66" s="68" t="n">
        <v>110</v>
      </c>
      <c r="D66" s="68">
        <f>C66*B66</f>
        <v/>
      </c>
      <c r="E66" s="76" t="n"/>
      <c r="F66" s="87">
        <f>E66+D66</f>
        <v/>
      </c>
      <c r="G66" s="69">
        <f>F66</f>
        <v/>
      </c>
      <c r="H66" s="70" t="n">
        <v>45008</v>
      </c>
      <c r="I66" s="79" t="inlineStr">
        <is>
          <t>PIX</t>
        </is>
      </c>
      <c r="J66" s="236" t="n"/>
      <c r="K66" s="236" t="n"/>
      <c r="L66" s="236" t="n"/>
      <c r="M66" s="236" t="n"/>
      <c r="N66" s="236" t="n"/>
      <c r="O66" s="236" t="n"/>
      <c r="P66" s="236" t="n"/>
    </row>
    <row r="67">
      <c r="A67" s="236" t="inlineStr">
        <is>
          <t>El Nacimiento del Campo Freudiano</t>
        </is>
      </c>
      <c r="B67" s="79" t="n">
        <v>1</v>
      </c>
      <c r="C67" s="68" t="n">
        <v>180</v>
      </c>
      <c r="D67" s="68">
        <f>C67*B67</f>
        <v/>
      </c>
      <c r="E67" s="76" t="n"/>
      <c r="F67" s="87">
        <f>E67+D67</f>
        <v/>
      </c>
      <c r="G67" s="69">
        <f>F67</f>
        <v/>
      </c>
      <c r="H67" s="70" t="n">
        <v>45008</v>
      </c>
      <c r="I67" s="79" t="inlineStr">
        <is>
          <t>PIX</t>
        </is>
      </c>
      <c r="J67" s="236" t="n"/>
      <c r="K67" s="236" t="n"/>
      <c r="L67" s="236" t="n"/>
      <c r="M67" s="236" t="n"/>
      <c r="N67" s="236" t="n"/>
      <c r="O67" s="236" t="n"/>
      <c r="P67" s="236" t="n"/>
    </row>
    <row r="68">
      <c r="A68" s="236" t="inlineStr">
        <is>
          <t>El Nacimiento del Campo Freudiano</t>
        </is>
      </c>
      <c r="B68" s="79" t="n">
        <v>1</v>
      </c>
      <c r="C68" s="68" t="n">
        <v>180</v>
      </c>
      <c r="D68" s="68">
        <f>C68*B68</f>
        <v/>
      </c>
      <c r="E68" s="117" t="n">
        <v>20</v>
      </c>
      <c r="F68" s="87">
        <f>E68+D68+D69</f>
        <v/>
      </c>
      <c r="G68" s="69">
        <f>F68</f>
        <v/>
      </c>
      <c r="H68" s="70" t="n">
        <v>45008</v>
      </c>
      <c r="I68" s="79" t="inlineStr">
        <is>
          <t>PIX</t>
        </is>
      </c>
      <c r="J68" s="165" t="n"/>
      <c r="K68" s="165" t="n"/>
      <c r="L68" s="236" t="n"/>
      <c r="M68" s="236" t="n"/>
      <c r="N68" s="236" t="n"/>
      <c r="O68" s="236" t="n"/>
      <c r="P68" s="236" t="n"/>
    </row>
    <row r="69">
      <c r="A69" s="236" t="inlineStr">
        <is>
          <t>El objeto a em la experiencia analítica</t>
        </is>
      </c>
      <c r="B69" s="79" t="n">
        <v>1</v>
      </c>
      <c r="C69" s="68" t="n">
        <v>110</v>
      </c>
      <c r="D69" s="68">
        <f>C69*B69</f>
        <v/>
      </c>
      <c r="E69" s="340" t="n"/>
      <c r="F69" s="340" t="n"/>
      <c r="G69" s="340" t="n"/>
      <c r="H69" s="340" t="n"/>
      <c r="I69" s="340" t="n"/>
      <c r="J69" s="340" t="n"/>
      <c r="K69" s="340" t="n"/>
      <c r="L69" s="236" t="n"/>
      <c r="M69" s="236" t="n"/>
      <c r="N69" s="236" t="n"/>
      <c r="O69" s="236" t="n"/>
      <c r="P69" s="236" t="n"/>
    </row>
    <row r="70">
      <c r="A70" s="236" t="inlineStr">
        <is>
          <t>Desarraigados</t>
        </is>
      </c>
      <c r="B70" s="79" t="n">
        <v>1</v>
      </c>
      <c r="C70" s="68" t="n">
        <v>160</v>
      </c>
      <c r="D70" s="68">
        <f>C70*B70</f>
        <v/>
      </c>
      <c r="E70" s="76" t="n"/>
      <c r="F70" s="87">
        <f>E70+D70</f>
        <v/>
      </c>
      <c r="G70" s="69">
        <f>F70</f>
        <v/>
      </c>
      <c r="H70" s="70" t="n">
        <v>45012</v>
      </c>
      <c r="I70" s="79" t="inlineStr">
        <is>
          <t>PIX</t>
        </is>
      </c>
      <c r="J70" s="236" t="n"/>
      <c r="K70" s="236" t="n"/>
      <c r="L70" s="236" t="n"/>
      <c r="M70" s="236" t="n"/>
      <c r="N70" s="236" t="n"/>
      <c r="O70" s="236" t="n"/>
      <c r="P70" s="236" t="n"/>
    </row>
    <row r="71">
      <c r="A71" s="236" t="inlineStr">
        <is>
          <t>Desarraigados</t>
        </is>
      </c>
      <c r="B71" s="79" t="n">
        <v>1</v>
      </c>
      <c r="C71" s="68" t="n">
        <v>160</v>
      </c>
      <c r="D71" s="68">
        <f>C71*B71</f>
        <v/>
      </c>
      <c r="E71" s="76" t="n">
        <v>14</v>
      </c>
      <c r="F71" s="87">
        <f>E71+D71</f>
        <v/>
      </c>
      <c r="G71" s="69">
        <f>F71</f>
        <v/>
      </c>
      <c r="H71" s="70" t="n">
        <v>45012</v>
      </c>
      <c r="I71" s="79" t="inlineStr">
        <is>
          <t>PIX</t>
        </is>
      </c>
      <c r="J71" s="236" t="n"/>
      <c r="K71" s="236" t="n"/>
      <c r="L71" s="236" t="n"/>
      <c r="M71" s="236" t="n"/>
      <c r="N71" s="236" t="n"/>
      <c r="O71" s="236" t="n"/>
      <c r="P71" s="236" t="n"/>
    </row>
    <row r="72">
      <c r="A72" s="236" t="inlineStr">
        <is>
          <t>Desarraigados</t>
        </is>
      </c>
      <c r="B72" s="79" t="n">
        <v>1</v>
      </c>
      <c r="C72" s="68" t="n">
        <v>160</v>
      </c>
      <c r="D72" s="68">
        <f>C72*B72</f>
        <v/>
      </c>
      <c r="E72" s="76" t="n"/>
      <c r="F72" s="87">
        <f>E72+D72</f>
        <v/>
      </c>
      <c r="G72" s="69">
        <f>F72</f>
        <v/>
      </c>
      <c r="H72" s="70" t="n">
        <v>45013</v>
      </c>
      <c r="I72" s="79" t="inlineStr">
        <is>
          <t>PIX</t>
        </is>
      </c>
      <c r="J72" s="236" t="n"/>
      <c r="K72" s="236" t="n"/>
      <c r="L72" s="236" t="n"/>
      <c r="M72" s="236" t="n"/>
      <c r="N72" s="236" t="n"/>
      <c r="O72" s="236" t="n"/>
      <c r="P72" s="236" t="n"/>
    </row>
    <row r="73">
      <c r="A73" s="236" t="inlineStr">
        <is>
          <t>Desarraigados</t>
        </is>
      </c>
      <c r="B73" s="79" t="n">
        <v>12</v>
      </c>
      <c r="C73" s="68" t="n">
        <v>160</v>
      </c>
      <c r="D73" s="68">
        <f>C73*B73</f>
        <v/>
      </c>
      <c r="E73" s="76" t="n">
        <v>14</v>
      </c>
      <c r="F73" s="87">
        <f>E73+D73</f>
        <v/>
      </c>
      <c r="G73" s="69">
        <f>F73</f>
        <v/>
      </c>
      <c r="H73" s="70" t="n">
        <v>45013</v>
      </c>
      <c r="I73" s="79" t="inlineStr">
        <is>
          <t>PIX</t>
        </is>
      </c>
      <c r="J73" s="236" t="n"/>
      <c r="K73" s="236" t="n"/>
      <c r="L73" s="236" t="n"/>
      <c r="M73" s="236" t="n"/>
      <c r="N73" s="236" t="n"/>
      <c r="O73" s="236" t="n"/>
      <c r="P73" s="236" t="n"/>
    </row>
    <row r="74">
      <c r="A74" s="236" t="inlineStr">
        <is>
          <t>Kit Investigações Lacaniana das psicoses</t>
        </is>
      </c>
      <c r="B74" s="79" t="n">
        <v>1</v>
      </c>
      <c r="C74" s="68" t="n">
        <v>130</v>
      </c>
      <c r="D74" s="68">
        <f>C74*B74</f>
        <v/>
      </c>
      <c r="E74" s="76" t="n"/>
      <c r="F74" s="87">
        <f>E74+D74</f>
        <v/>
      </c>
      <c r="G74" s="69">
        <f>F74</f>
        <v/>
      </c>
      <c r="H74" s="70" t="n">
        <v>45014</v>
      </c>
      <c r="I74" s="79" t="inlineStr">
        <is>
          <t>PIX</t>
        </is>
      </c>
      <c r="J74" s="236" t="n"/>
      <c r="K74" s="236" t="n"/>
      <c r="L74" s="236" t="n"/>
      <c r="M74" s="236" t="n"/>
      <c r="N74" s="236" t="n"/>
      <c r="O74" s="236" t="n"/>
      <c r="P74" s="236" t="n"/>
    </row>
    <row r="75">
      <c r="A75" s="236" t="inlineStr">
        <is>
          <t>Taxa Envio</t>
        </is>
      </c>
      <c r="B75" s="79" t="n">
        <v>1</v>
      </c>
      <c r="C75" s="68" t="n">
        <v>0</v>
      </c>
      <c r="D75" s="68">
        <f>C75*B75</f>
        <v/>
      </c>
      <c r="E75" s="76" t="n">
        <v>20</v>
      </c>
      <c r="F75" s="87">
        <f>E75+D75</f>
        <v/>
      </c>
      <c r="G75" s="69">
        <f>F75</f>
        <v/>
      </c>
      <c r="H75" s="70" t="n">
        <v>45014</v>
      </c>
      <c r="I75" s="79" t="inlineStr">
        <is>
          <t>PIX</t>
        </is>
      </c>
      <c r="J75" s="236" t="n"/>
      <c r="K75" s="236" t="n"/>
      <c r="L75" s="236" t="n"/>
      <c r="M75" s="236" t="n"/>
      <c r="N75" s="236" t="n"/>
      <c r="O75" s="236" t="n"/>
      <c r="P75" s="236" t="n"/>
    </row>
    <row r="76">
      <c r="A76" s="236" t="inlineStr">
        <is>
          <t>Desarraigados</t>
        </is>
      </c>
      <c r="B76" s="79" t="n">
        <v>1</v>
      </c>
      <c r="C76" s="68" t="n">
        <v>160</v>
      </c>
      <c r="D76" s="68">
        <f>C76*B76</f>
        <v/>
      </c>
      <c r="E76" s="109" t="n"/>
      <c r="F76" s="87">
        <f>E76+D76</f>
        <v/>
      </c>
      <c r="G76" s="69">
        <f>F76</f>
        <v/>
      </c>
      <c r="H76" s="83" t="n">
        <v>45019</v>
      </c>
      <c r="I76" s="86" t="inlineStr">
        <is>
          <t>PIX</t>
        </is>
      </c>
      <c r="J76" s="111" t="n"/>
      <c r="K76" s="111" t="n"/>
      <c r="L76" s="236" t="n"/>
      <c r="M76" s="236" t="n"/>
      <c r="N76" s="236" t="n"/>
      <c r="O76" s="236" t="n"/>
      <c r="P76" s="236" t="n"/>
    </row>
    <row r="77">
      <c r="A77" s="236" t="inlineStr">
        <is>
          <t>O campo uniano</t>
        </is>
      </c>
      <c r="B77" s="79" t="n">
        <v>1</v>
      </c>
      <c r="C77" s="68" t="n">
        <v>120</v>
      </c>
      <c r="D77" s="68">
        <f>C77*B77</f>
        <v/>
      </c>
      <c r="E77" s="109" t="n"/>
      <c r="F77" s="89">
        <f>D77</f>
        <v/>
      </c>
      <c r="G77" s="82">
        <f>F77</f>
        <v/>
      </c>
      <c r="H77" s="83" t="n">
        <v>45019</v>
      </c>
      <c r="I77" s="86" t="inlineStr">
        <is>
          <t>PIX</t>
        </is>
      </c>
      <c r="J77" s="111" t="n"/>
      <c r="K77" s="111" t="n"/>
      <c r="L77" s="236" t="n"/>
      <c r="M77" s="236" t="n"/>
      <c r="N77" s="236" t="n"/>
      <c r="O77" s="236" t="n"/>
      <c r="P77" s="236" t="n"/>
    </row>
    <row r="78">
      <c r="A78" s="236" t="inlineStr">
        <is>
          <t>O campo uniano</t>
        </is>
      </c>
      <c r="B78" s="79" t="n">
        <v>13</v>
      </c>
      <c r="C78" s="68" t="n">
        <v>120</v>
      </c>
      <c r="D78" s="68">
        <f>C78*B78</f>
        <v/>
      </c>
      <c r="E78" s="109" t="n"/>
      <c r="F78" s="89">
        <f>D78</f>
        <v/>
      </c>
      <c r="G78" s="82">
        <f>F78</f>
        <v/>
      </c>
      <c r="H78" s="83" t="n">
        <v>45020</v>
      </c>
      <c r="I78" s="86" t="inlineStr">
        <is>
          <t>PIX</t>
        </is>
      </c>
      <c r="J78" s="111" t="n"/>
      <c r="K78" s="111" t="n"/>
      <c r="L78" s="236" t="n"/>
      <c r="M78" s="236" t="n"/>
      <c r="N78" s="236" t="n"/>
      <c r="O78" s="236" t="n"/>
      <c r="P78" s="236" t="n"/>
    </row>
    <row r="79">
      <c r="A79" s="236" t="inlineStr">
        <is>
          <t>A função do pai em psicanálise</t>
        </is>
      </c>
      <c r="B79" s="79" t="n">
        <v>1</v>
      </c>
      <c r="C79" s="68" t="n">
        <v>40</v>
      </c>
      <c r="D79" s="68">
        <f>C79*B79</f>
        <v/>
      </c>
      <c r="E79" s="109" t="n"/>
      <c r="F79" s="89">
        <f>D79</f>
        <v/>
      </c>
      <c r="G79" s="82">
        <f>F79</f>
        <v/>
      </c>
      <c r="H79" s="83" t="n">
        <v>45021</v>
      </c>
      <c r="I79" s="86" t="inlineStr">
        <is>
          <t>PIX</t>
        </is>
      </c>
      <c r="J79" s="111" t="n"/>
      <c r="K79" s="111" t="n"/>
      <c r="L79" s="236" t="n"/>
      <c r="M79" s="236" t="n"/>
      <c r="N79" s="236" t="n"/>
      <c r="O79" s="236" t="n"/>
      <c r="P79" s="236" t="n"/>
    </row>
    <row r="80">
      <c r="A80" s="236" t="inlineStr">
        <is>
          <t>O ser e a letra</t>
        </is>
      </c>
      <c r="B80" s="79" t="n">
        <v>1</v>
      </c>
      <c r="C80" s="68" t="n">
        <v>80</v>
      </c>
      <c r="D80" s="68">
        <f>C80*B80</f>
        <v/>
      </c>
      <c r="E80" s="117" t="n"/>
      <c r="F80" s="87">
        <f>E80+D80+D81+D82</f>
        <v/>
      </c>
      <c r="G80" s="69">
        <f>F80</f>
        <v/>
      </c>
      <c r="H80" s="70" t="n">
        <v>45022</v>
      </c>
      <c r="I80" s="79" t="inlineStr">
        <is>
          <t>PIX</t>
        </is>
      </c>
      <c r="J80" s="165" t="n"/>
      <c r="K80" s="165" t="n"/>
      <c r="L80" s="236" t="n"/>
      <c r="M80" s="236" t="n"/>
      <c r="N80" s="236" t="n"/>
      <c r="O80" s="236" t="n"/>
      <c r="P80" s="236" t="n"/>
    </row>
    <row r="81">
      <c r="A81" s="236" t="inlineStr">
        <is>
          <t>Agente 14</t>
        </is>
      </c>
      <c r="B81" s="79" t="n">
        <v>1</v>
      </c>
      <c r="C81" s="68" t="n">
        <v>50</v>
      </c>
      <c r="D81" s="68">
        <f>C81*B81</f>
        <v/>
      </c>
      <c r="E81" s="343" t="n"/>
      <c r="F81" s="343" t="n"/>
      <c r="G81" s="343" t="n"/>
      <c r="H81" s="343" t="n"/>
      <c r="I81" s="343" t="n"/>
      <c r="J81" s="343" t="n"/>
      <c r="K81" s="343" t="n"/>
      <c r="L81" s="236" t="n"/>
      <c r="M81" s="236" t="n"/>
      <c r="N81" s="236" t="n"/>
      <c r="O81" s="236" t="n"/>
      <c r="P81" s="236" t="n"/>
    </row>
    <row r="82">
      <c r="A82" s="236" t="inlineStr">
        <is>
          <t xml:space="preserve">Carrossel </t>
        </is>
      </c>
      <c r="B82" s="79" t="n">
        <v>1</v>
      </c>
      <c r="C82" s="68" t="n">
        <v>15</v>
      </c>
      <c r="D82" s="68">
        <f>C82*B82</f>
        <v/>
      </c>
      <c r="E82" s="340" t="n"/>
      <c r="F82" s="340" t="n"/>
      <c r="G82" s="340" t="n"/>
      <c r="H82" s="340" t="n"/>
      <c r="I82" s="340" t="n"/>
      <c r="J82" s="340" t="n"/>
      <c r="K82" s="340" t="n"/>
      <c r="L82" s="236" t="n"/>
      <c r="M82" s="236" t="n"/>
      <c r="N82" s="236" t="n"/>
      <c r="O82" s="236" t="n"/>
      <c r="P82" s="236" t="n"/>
    </row>
    <row r="83">
      <c r="A83" s="236" t="inlineStr">
        <is>
          <t>Agente 19</t>
        </is>
      </c>
      <c r="B83" s="79" t="n">
        <v>1</v>
      </c>
      <c r="C83" s="68" t="n">
        <v>50</v>
      </c>
      <c r="D83" s="68">
        <f>C83*B83</f>
        <v/>
      </c>
      <c r="E83" s="117" t="n"/>
      <c r="F83" s="87">
        <f>D83</f>
        <v/>
      </c>
      <c r="G83" s="119">
        <f>F83</f>
        <v/>
      </c>
      <c r="H83" s="120" t="n">
        <v>45030</v>
      </c>
      <c r="I83" s="121" t="inlineStr">
        <is>
          <t>PIX</t>
        </is>
      </c>
      <c r="J83" s="122" t="n"/>
      <c r="K83" s="122" t="n"/>
      <c r="L83" s="236" t="n"/>
      <c r="M83" s="236" t="n"/>
      <c r="N83" s="236" t="n"/>
      <c r="O83" s="236" t="n"/>
      <c r="P83" s="236" t="n"/>
    </row>
    <row r="84">
      <c r="A84" s="236" t="inlineStr">
        <is>
          <t>Cómo terminan los análisis</t>
        </is>
      </c>
      <c r="B84" s="79" t="n">
        <v>1</v>
      </c>
      <c r="C84" s="68" t="n">
        <v>135</v>
      </c>
      <c r="D84" s="68">
        <f>C84*B84</f>
        <v/>
      </c>
      <c r="E84" s="123" t="n"/>
      <c r="F84" s="124">
        <f>D84+D85</f>
        <v/>
      </c>
      <c r="G84" s="69">
        <f>F84</f>
        <v/>
      </c>
      <c r="H84" s="70" t="n">
        <v>45029</v>
      </c>
      <c r="I84" s="79" t="inlineStr">
        <is>
          <t>PIX</t>
        </is>
      </c>
      <c r="J84" s="165" t="n"/>
      <c r="K84" s="122" t="n"/>
      <c r="L84" s="236" t="n"/>
      <c r="M84" s="236" t="n"/>
      <c r="N84" s="236" t="n"/>
      <c r="O84" s="236" t="n"/>
      <c r="P84" s="236" t="n"/>
    </row>
    <row r="85">
      <c r="A85" s="236" t="inlineStr">
        <is>
          <t>Desarraigados</t>
        </is>
      </c>
      <c r="B85" s="79" t="n">
        <v>1</v>
      </c>
      <c r="C85" s="68" t="n">
        <v>160</v>
      </c>
      <c r="D85" s="68">
        <f>C85*B85</f>
        <v/>
      </c>
      <c r="E85" s="123" t="n"/>
      <c r="F85" s="343" t="n"/>
      <c r="G85" s="340" t="n"/>
      <c r="H85" s="340" t="n"/>
      <c r="I85" s="340" t="n"/>
      <c r="J85" s="340" t="n"/>
      <c r="K85" s="122" t="n"/>
      <c r="L85" s="236" t="n"/>
      <c r="M85" s="236" t="n"/>
      <c r="N85" s="236" t="n"/>
      <c r="O85" s="236" t="n"/>
      <c r="P85" s="236" t="n"/>
    </row>
    <row r="86">
      <c r="A86" s="236" t="inlineStr">
        <is>
          <t>O campo uniano</t>
        </is>
      </c>
      <c r="B86" s="79" t="n">
        <v>3</v>
      </c>
      <c r="C86" s="68" t="n">
        <v>120</v>
      </c>
      <c r="D86" s="68">
        <f>C86*B86</f>
        <v/>
      </c>
      <c r="E86" s="117" t="n"/>
      <c r="F86" s="87">
        <f>D86</f>
        <v/>
      </c>
      <c r="G86" s="119">
        <f>F86</f>
        <v/>
      </c>
      <c r="H86" s="120" t="n">
        <v>45029</v>
      </c>
      <c r="I86" s="121" t="inlineStr">
        <is>
          <t>PIX</t>
        </is>
      </c>
      <c r="J86" s="122" t="n"/>
      <c r="K86" s="122" t="n"/>
      <c r="L86" s="236" t="n"/>
      <c r="M86" s="236" t="n"/>
      <c r="N86" s="236" t="n"/>
      <c r="O86" s="236" t="n"/>
      <c r="P86" s="236" t="n"/>
    </row>
    <row r="87">
      <c r="A87" s="236" t="inlineStr">
        <is>
          <t>O campo uniano</t>
        </is>
      </c>
      <c r="B87" s="79" t="n">
        <v>1</v>
      </c>
      <c r="C87" s="68" t="n">
        <v>120</v>
      </c>
      <c r="D87" s="68">
        <f>C87*B87</f>
        <v/>
      </c>
      <c r="E87" s="88" t="n"/>
      <c r="F87" s="87">
        <f>D87</f>
        <v/>
      </c>
      <c r="G87" s="119">
        <f>F87</f>
        <v/>
      </c>
      <c r="H87" s="120" t="n">
        <v>45030</v>
      </c>
      <c r="I87" s="121" t="inlineStr">
        <is>
          <t>PIX</t>
        </is>
      </c>
      <c r="J87" s="122" t="n"/>
      <c r="K87" s="122" t="n"/>
      <c r="L87" s="236" t="n"/>
      <c r="M87" s="236" t="n"/>
      <c r="N87" s="236" t="n"/>
      <c r="O87" s="236" t="n"/>
      <c r="P87" s="236" t="n"/>
    </row>
    <row r="88">
      <c r="A88" s="236" t="inlineStr">
        <is>
          <t>O campo uniano</t>
        </is>
      </c>
      <c r="B88" s="79" t="n">
        <v>1</v>
      </c>
      <c r="C88" s="68" t="n">
        <v>120</v>
      </c>
      <c r="D88" s="68">
        <f>C88*B88</f>
        <v/>
      </c>
      <c r="E88" s="117" t="n">
        <v>20.3</v>
      </c>
      <c r="F88" s="87">
        <f>E88+D88+D89</f>
        <v/>
      </c>
      <c r="G88" s="69">
        <f>F88</f>
        <v/>
      </c>
      <c r="H88" s="70" t="n">
        <v>45036</v>
      </c>
      <c r="I88" s="79" t="inlineStr">
        <is>
          <t>PIX</t>
        </is>
      </c>
      <c r="J88" s="165" t="n"/>
      <c r="K88" s="165" t="n"/>
      <c r="L88" s="236" t="n"/>
      <c r="M88" s="236" t="n"/>
      <c r="N88" s="236" t="n"/>
      <c r="O88" s="236" t="n"/>
      <c r="P88" s="236" t="n"/>
    </row>
    <row r="89">
      <c r="A89" s="236" t="inlineStr">
        <is>
          <t>Cómo terminan los análisis</t>
        </is>
      </c>
      <c r="B89" s="79" t="n">
        <v>1</v>
      </c>
      <c r="C89" s="68" t="n">
        <v>135</v>
      </c>
      <c r="D89" s="68">
        <f>C89*B89</f>
        <v/>
      </c>
      <c r="E89" s="340" t="n"/>
      <c r="F89" s="340" t="n"/>
      <c r="G89" s="340" t="n"/>
      <c r="H89" s="340" t="n"/>
      <c r="I89" s="340" t="n"/>
      <c r="J89" s="340" t="n"/>
      <c r="K89" s="340" t="n"/>
      <c r="L89" s="236" t="n"/>
      <c r="M89" s="236" t="n"/>
      <c r="N89" s="236" t="n"/>
      <c r="O89" s="236" t="n"/>
      <c r="P89" s="236" t="n"/>
    </row>
    <row r="90">
      <c r="A90" s="236" t="inlineStr">
        <is>
          <t>Agente 20</t>
        </is>
      </c>
      <c r="B90" s="79" t="n">
        <v>1</v>
      </c>
      <c r="C90" s="68" t="n">
        <v>60</v>
      </c>
      <c r="D90" s="68">
        <f>C90*B90</f>
        <v/>
      </c>
      <c r="E90" s="90" t="n"/>
      <c r="F90" s="87">
        <f>E90+D90</f>
        <v/>
      </c>
      <c r="G90" s="69">
        <f>F90</f>
        <v/>
      </c>
      <c r="H90" s="91" t="n">
        <v>45041</v>
      </c>
      <c r="I90" s="93" t="inlineStr">
        <is>
          <t>PIX</t>
        </is>
      </c>
      <c r="J90" s="94" t="n"/>
      <c r="K90" s="94" t="n"/>
      <c r="L90" s="236" t="n"/>
      <c r="M90" s="236" t="n"/>
      <c r="N90" s="236" t="n"/>
      <c r="O90" s="236" t="n"/>
      <c r="P90" s="236" t="n"/>
    </row>
    <row r="91">
      <c r="A91" s="236" t="inlineStr">
        <is>
          <t>Agente 20</t>
        </is>
      </c>
      <c r="B91" s="79" t="n">
        <v>1</v>
      </c>
      <c r="C91" s="68" t="n">
        <v>60</v>
      </c>
      <c r="D91" s="68">
        <f>C91*B91</f>
        <v/>
      </c>
      <c r="E91" s="76" t="n">
        <v>15</v>
      </c>
      <c r="F91" s="87">
        <f>E91+D91</f>
        <v/>
      </c>
      <c r="G91" s="69">
        <f>F91</f>
        <v/>
      </c>
      <c r="H91" s="70" t="n">
        <v>45041</v>
      </c>
      <c r="I91" s="79" t="inlineStr">
        <is>
          <t>PIX</t>
        </is>
      </c>
      <c r="J91" s="236" t="n"/>
      <c r="K91" s="236" t="n"/>
      <c r="L91" s="236" t="n"/>
      <c r="M91" s="236" t="n"/>
      <c r="N91" s="236" t="n"/>
      <c r="O91" s="236" t="n"/>
      <c r="P91" s="236" t="n"/>
    </row>
    <row r="92">
      <c r="A92" s="236" t="inlineStr">
        <is>
          <t>Agente 20</t>
        </is>
      </c>
      <c r="B92" s="79" t="n">
        <v>1</v>
      </c>
      <c r="C92" s="68" t="n">
        <v>60</v>
      </c>
      <c r="D92" s="68">
        <f>C92*B92</f>
        <v/>
      </c>
      <c r="E92" s="76" t="n">
        <v>15</v>
      </c>
      <c r="F92" s="87">
        <f>E92+D92</f>
        <v/>
      </c>
      <c r="G92" s="69">
        <f>F92</f>
        <v/>
      </c>
      <c r="H92" s="70" t="n">
        <v>45041</v>
      </c>
      <c r="I92" s="79" t="inlineStr">
        <is>
          <t>PIX</t>
        </is>
      </c>
      <c r="J92" s="236" t="n"/>
      <c r="K92" s="236" t="n"/>
      <c r="L92" s="236" t="n"/>
      <c r="M92" s="236" t="n"/>
      <c r="N92" s="236" t="n"/>
      <c r="O92" s="236" t="n"/>
      <c r="P92" s="236" t="n"/>
    </row>
    <row r="93">
      <c r="A93" s="236" t="inlineStr">
        <is>
          <t>Agente 20</t>
        </is>
      </c>
      <c r="B93" s="79" t="n">
        <v>1</v>
      </c>
      <c r="C93" s="68" t="n">
        <v>60</v>
      </c>
      <c r="D93" s="68">
        <f>C93*B93</f>
        <v/>
      </c>
      <c r="E93" s="76" t="n"/>
      <c r="F93" s="87">
        <f>E93+D93</f>
        <v/>
      </c>
      <c r="G93" s="69">
        <f>F93</f>
        <v/>
      </c>
      <c r="H93" s="70" t="n">
        <v>45041</v>
      </c>
      <c r="I93" s="79" t="inlineStr">
        <is>
          <t>PIX</t>
        </is>
      </c>
      <c r="J93" s="236" t="n"/>
      <c r="K93" s="236" t="n"/>
      <c r="L93" s="236" t="n"/>
      <c r="M93" s="236" t="n"/>
      <c r="N93" s="236" t="n"/>
      <c r="O93" s="236" t="n"/>
      <c r="P93" s="236" t="n"/>
    </row>
    <row r="94">
      <c r="A94" s="236" t="inlineStr">
        <is>
          <t>Agente 20</t>
        </is>
      </c>
      <c r="B94" s="79" t="n">
        <v>1</v>
      </c>
      <c r="C94" s="68" t="n">
        <v>60</v>
      </c>
      <c r="D94" s="68">
        <f>C94*B94</f>
        <v/>
      </c>
      <c r="E94" s="76" t="n"/>
      <c r="F94" s="87">
        <f>E94+D94</f>
        <v/>
      </c>
      <c r="G94" s="69">
        <f>F94</f>
        <v/>
      </c>
      <c r="H94" s="70" t="n">
        <v>45042</v>
      </c>
      <c r="I94" s="79" t="inlineStr">
        <is>
          <t>PIX</t>
        </is>
      </c>
      <c r="J94" s="236" t="n"/>
      <c r="K94" s="236" t="n"/>
      <c r="L94" s="236" t="n"/>
      <c r="M94" s="236" t="n"/>
      <c r="N94" s="236" t="n"/>
      <c r="O94" s="236" t="n"/>
      <c r="P94" s="236" t="n"/>
    </row>
    <row r="95">
      <c r="A95" s="236" t="inlineStr">
        <is>
          <t>A função do pai em psicanálise</t>
        </is>
      </c>
      <c r="B95" s="79" t="n">
        <v>1</v>
      </c>
      <c r="C95" s="68" t="n">
        <v>60</v>
      </c>
      <c r="D95" s="68">
        <f>C95*B95</f>
        <v/>
      </c>
      <c r="E95" s="117" t="n">
        <v>20</v>
      </c>
      <c r="F95" s="87">
        <f>D95+D96+E95</f>
        <v/>
      </c>
      <c r="G95" s="69">
        <f>F95</f>
        <v/>
      </c>
      <c r="H95" s="70" t="n">
        <v>45042</v>
      </c>
      <c r="I95" s="79" t="inlineStr">
        <is>
          <t>PIX</t>
        </is>
      </c>
      <c r="J95" s="165" t="n"/>
      <c r="K95" s="165" t="n"/>
      <c r="L95" s="236" t="n"/>
      <c r="M95" s="236" t="n"/>
      <c r="N95" s="236" t="n"/>
      <c r="O95" s="236" t="n"/>
      <c r="P95" s="236" t="n"/>
    </row>
    <row r="96">
      <c r="A96" s="236" t="inlineStr">
        <is>
          <t>Agente 20</t>
        </is>
      </c>
      <c r="B96" s="79" t="n">
        <v>1</v>
      </c>
      <c r="C96" s="68" t="n">
        <v>60</v>
      </c>
      <c r="D96" s="68">
        <f>C96*B96</f>
        <v/>
      </c>
      <c r="E96" s="340" t="n"/>
      <c r="F96" s="340" t="n"/>
      <c r="G96" s="340" t="n"/>
      <c r="H96" s="340" t="n"/>
      <c r="I96" s="340" t="n"/>
      <c r="J96" s="340" t="n"/>
      <c r="K96" s="340" t="n"/>
      <c r="L96" s="236" t="n"/>
      <c r="M96" s="236" t="n"/>
      <c r="N96" s="236" t="n"/>
      <c r="O96" s="236" t="n"/>
      <c r="P96" s="236" t="n"/>
    </row>
    <row r="97">
      <c r="A97" s="236" t="inlineStr">
        <is>
          <t>Agente 20</t>
        </is>
      </c>
      <c r="B97" s="79" t="n">
        <v>1</v>
      </c>
      <c r="C97" s="68" t="n">
        <v>60</v>
      </c>
      <c r="D97" s="68">
        <f>C97*B97</f>
        <v/>
      </c>
      <c r="E97" s="76" t="n"/>
      <c r="F97" s="87">
        <f>E97+D97</f>
        <v/>
      </c>
      <c r="G97" s="69">
        <f>F97</f>
        <v/>
      </c>
      <c r="H97" s="70" t="n">
        <v>45042</v>
      </c>
      <c r="I97" s="79" t="inlineStr">
        <is>
          <t>PIX</t>
        </is>
      </c>
      <c r="J97" s="236" t="n"/>
      <c r="K97" s="236" t="n"/>
      <c r="L97" s="236" t="n"/>
      <c r="M97" s="236" t="n"/>
      <c r="N97" s="236" t="n"/>
      <c r="O97" s="236" t="n"/>
      <c r="P97" s="236" t="n"/>
    </row>
    <row r="98">
      <c r="A98" s="236" t="inlineStr">
        <is>
          <t>Agente 20</t>
        </is>
      </c>
      <c r="B98" s="79" t="n">
        <v>1</v>
      </c>
      <c r="C98" s="68" t="n">
        <v>60</v>
      </c>
      <c r="D98" s="68">
        <f>C98*B98</f>
        <v/>
      </c>
      <c r="E98" s="76" t="n">
        <v>15</v>
      </c>
      <c r="F98" s="87">
        <f>E98+D98</f>
        <v/>
      </c>
      <c r="G98" s="69">
        <f>F98</f>
        <v/>
      </c>
      <c r="H98" s="70" t="n">
        <v>45042</v>
      </c>
      <c r="I98" s="79" t="inlineStr">
        <is>
          <t>PIX</t>
        </is>
      </c>
      <c r="J98" s="236" t="n"/>
      <c r="K98" s="236" t="n"/>
      <c r="L98" s="236" t="n"/>
      <c r="M98" s="236" t="n"/>
      <c r="N98" s="236" t="n"/>
      <c r="O98" s="236" t="n"/>
      <c r="P98" s="236" t="n"/>
    </row>
    <row r="99">
      <c r="A99" s="236" t="inlineStr">
        <is>
          <t>Agente 20</t>
        </is>
      </c>
      <c r="B99" s="79" t="n">
        <v>2</v>
      </c>
      <c r="C99" s="68" t="n">
        <v>60</v>
      </c>
      <c r="D99" s="68">
        <f>C99*B99</f>
        <v/>
      </c>
      <c r="E99" s="76" t="n"/>
      <c r="F99" s="87">
        <f>E99+D99</f>
        <v/>
      </c>
      <c r="G99" s="69">
        <f>F99</f>
        <v/>
      </c>
      <c r="H99" s="70" t="n">
        <v>45042</v>
      </c>
      <c r="I99" s="79" t="inlineStr">
        <is>
          <t>PIX</t>
        </is>
      </c>
      <c r="J99" s="236" t="n"/>
      <c r="K99" s="129" t="n"/>
      <c r="L99" s="236" t="n"/>
      <c r="M99" s="236" t="n"/>
      <c r="N99" s="236" t="n"/>
      <c r="O99" s="236" t="n"/>
      <c r="P99" s="236" t="n"/>
    </row>
    <row r="100">
      <c r="A100" s="236" t="inlineStr">
        <is>
          <t>La Sexualidad Es Transgénero</t>
        </is>
      </c>
      <c r="B100" s="79" t="n">
        <v>1</v>
      </c>
      <c r="C100" s="68" t="n">
        <v>85</v>
      </c>
      <c r="D100" s="68">
        <f>C100*B100</f>
        <v/>
      </c>
      <c r="E100" s="76" t="n"/>
      <c r="F100" s="87">
        <f>E100+D100</f>
        <v/>
      </c>
      <c r="G100" s="69">
        <f>F100</f>
        <v/>
      </c>
      <c r="H100" s="70" t="n">
        <v>45042</v>
      </c>
      <c r="I100" s="79" t="inlineStr">
        <is>
          <t>PIX</t>
        </is>
      </c>
      <c r="J100" s="236" t="n"/>
      <c r="K100" s="236" t="n"/>
      <c r="L100" s="236" t="n"/>
      <c r="M100" s="236" t="n"/>
      <c r="N100" s="236" t="n"/>
      <c r="O100" s="236" t="n"/>
      <c r="P100" s="236" t="n"/>
    </row>
    <row r="101">
      <c r="A101" s="236" t="inlineStr">
        <is>
          <t>Agente 20</t>
        </is>
      </c>
      <c r="B101" s="79" t="n">
        <v>1</v>
      </c>
      <c r="C101" s="68" t="n">
        <v>60</v>
      </c>
      <c r="D101" s="68">
        <f>C101*B101</f>
        <v/>
      </c>
      <c r="E101" s="117" t="n">
        <v>50</v>
      </c>
      <c r="F101" s="87">
        <f>D101+D102+E101</f>
        <v/>
      </c>
      <c r="G101" s="69">
        <f>F101</f>
        <v/>
      </c>
      <c r="H101" s="70" t="n">
        <v>45042</v>
      </c>
      <c r="I101" s="79" t="inlineStr">
        <is>
          <t>PIX</t>
        </is>
      </c>
      <c r="J101" s="165" t="n"/>
      <c r="K101" s="165" t="n"/>
      <c r="L101" s="236" t="n"/>
      <c r="M101" s="236" t="n"/>
      <c r="N101" s="236" t="n"/>
      <c r="O101" s="236" t="n"/>
      <c r="P101" s="236" t="n"/>
    </row>
    <row r="102">
      <c r="A102" s="236" t="inlineStr">
        <is>
          <t>Revista Carrossel 2</t>
        </is>
      </c>
      <c r="B102" s="79" t="n">
        <v>1</v>
      </c>
      <c r="C102" s="68" t="n">
        <v>50</v>
      </c>
      <c r="D102" s="68">
        <f>C102*B102</f>
        <v/>
      </c>
      <c r="E102" s="343" t="n"/>
      <c r="F102" s="343" t="n"/>
      <c r="G102" s="343" t="n"/>
      <c r="H102" s="343" t="n"/>
      <c r="I102" s="343" t="n"/>
      <c r="J102" s="343" t="n"/>
      <c r="K102" s="343" t="n"/>
      <c r="L102" s="236" t="n"/>
      <c r="M102" s="236" t="n"/>
      <c r="N102" s="236" t="n"/>
      <c r="O102" s="236" t="n"/>
      <c r="P102" s="236" t="n"/>
    </row>
    <row r="103">
      <c r="A103" s="236" t="inlineStr">
        <is>
          <t>Pago a mais</t>
        </is>
      </c>
      <c r="B103" s="79" t="n">
        <v>1</v>
      </c>
      <c r="C103" s="68" t="n"/>
      <c r="D103" s="68">
        <f>C103*B103</f>
        <v/>
      </c>
      <c r="E103" s="340" t="n"/>
      <c r="F103" s="340" t="n"/>
      <c r="G103" s="340" t="n"/>
      <c r="H103" s="340" t="n"/>
      <c r="I103" s="340" t="n"/>
      <c r="J103" s="340" t="n"/>
      <c r="K103" s="340" t="n"/>
      <c r="L103" s="236" t="n"/>
      <c r="M103" s="236" t="n"/>
      <c r="N103" s="236" t="n"/>
      <c r="O103" s="236" t="n"/>
      <c r="P103" s="236" t="n"/>
    </row>
    <row r="104">
      <c r="A104" s="236" t="inlineStr">
        <is>
          <t>Agente 20</t>
        </is>
      </c>
      <c r="B104" s="79" t="n">
        <v>1</v>
      </c>
      <c r="C104" s="68" t="n">
        <v>60</v>
      </c>
      <c r="D104" s="68">
        <f>C104*B104</f>
        <v/>
      </c>
      <c r="E104" s="76" t="n"/>
      <c r="F104" s="87">
        <f>E104+D104</f>
        <v/>
      </c>
      <c r="G104" s="69">
        <f>F104</f>
        <v/>
      </c>
      <c r="H104" s="70" t="n">
        <v>45042</v>
      </c>
      <c r="I104" s="79" t="inlineStr">
        <is>
          <t>PIX</t>
        </is>
      </c>
      <c r="J104" s="236" t="n"/>
      <c r="K104" s="236" t="n"/>
      <c r="L104" s="236" t="n"/>
      <c r="M104" s="236" t="n"/>
      <c r="N104" s="236" t="n"/>
      <c r="O104" s="236" t="n"/>
      <c r="P104" s="236" t="n"/>
    </row>
    <row r="105">
      <c r="A105" s="236" t="inlineStr">
        <is>
          <t>Agente 20</t>
        </is>
      </c>
      <c r="B105" s="79" t="n">
        <v>14</v>
      </c>
      <c r="C105" s="68" t="n">
        <v>60</v>
      </c>
      <c r="D105" s="68">
        <f>C105*B105</f>
        <v/>
      </c>
      <c r="E105" s="76" t="n"/>
      <c r="F105" s="87">
        <f>E105+D105</f>
        <v/>
      </c>
      <c r="G105" s="69">
        <f>F105</f>
        <v/>
      </c>
      <c r="H105" s="70" t="n">
        <v>45042</v>
      </c>
      <c r="I105" s="79" t="inlineStr">
        <is>
          <t>PIX</t>
        </is>
      </c>
      <c r="J105" s="236" t="n"/>
      <c r="K105" s="236" t="n"/>
      <c r="L105" s="236" t="n"/>
      <c r="M105" s="236" t="n"/>
      <c r="N105" s="236" t="n"/>
      <c r="O105" s="236" t="n"/>
      <c r="P105" s="236" t="n"/>
    </row>
    <row r="106">
      <c r="A106" s="236" t="inlineStr">
        <is>
          <t>Agente 20</t>
        </is>
      </c>
      <c r="B106" s="79" t="n">
        <v>1</v>
      </c>
      <c r="C106" s="68" t="n">
        <v>60</v>
      </c>
      <c r="D106" s="68">
        <f>C106*B106</f>
        <v/>
      </c>
      <c r="E106" s="76" t="n"/>
      <c r="F106" s="87">
        <f>E106+D106</f>
        <v/>
      </c>
      <c r="G106" s="69">
        <f>F106</f>
        <v/>
      </c>
      <c r="H106" s="70" t="n">
        <v>45042</v>
      </c>
      <c r="I106" s="79" t="inlineStr">
        <is>
          <t>PIX</t>
        </is>
      </c>
      <c r="J106" s="236" t="n"/>
      <c r="K106" s="236" t="n"/>
      <c r="L106" s="236" t="n"/>
      <c r="M106" s="236" t="n"/>
      <c r="N106" s="236" t="n"/>
      <c r="O106" s="236" t="n"/>
      <c r="P106" s="236" t="n"/>
    </row>
    <row r="107">
      <c r="A107" s="236" t="inlineStr">
        <is>
          <t>Agente 20</t>
        </is>
      </c>
      <c r="B107" s="79" t="n">
        <v>1</v>
      </c>
      <c r="C107" s="68" t="n">
        <v>60</v>
      </c>
      <c r="D107" s="68">
        <f>C107*B107</f>
        <v/>
      </c>
      <c r="E107" s="76" t="n"/>
      <c r="F107" s="87">
        <f>E107+D107</f>
        <v/>
      </c>
      <c r="G107" s="69">
        <f>F107</f>
        <v/>
      </c>
      <c r="H107" s="70" t="n">
        <v>45042</v>
      </c>
      <c r="I107" s="79" t="inlineStr">
        <is>
          <t>PIX</t>
        </is>
      </c>
      <c r="J107" s="236" t="n"/>
      <c r="K107" s="236" t="n"/>
      <c r="L107" s="236" t="n"/>
      <c r="M107" s="236" t="n"/>
      <c r="N107" s="236" t="n"/>
      <c r="O107" s="236" t="n"/>
      <c r="P107" s="236" t="n"/>
    </row>
    <row r="108">
      <c r="A108" s="236" t="inlineStr">
        <is>
          <t>Agente 20</t>
        </is>
      </c>
      <c r="B108" s="79" t="n">
        <v>1</v>
      </c>
      <c r="C108" s="68" t="n">
        <v>60</v>
      </c>
      <c r="D108" s="68">
        <f>C108*B108</f>
        <v/>
      </c>
      <c r="E108" s="76" t="n"/>
      <c r="F108" s="87">
        <f>E108+D108</f>
        <v/>
      </c>
      <c r="G108" s="69">
        <f>F108</f>
        <v/>
      </c>
      <c r="H108" s="70" t="n">
        <v>45042</v>
      </c>
      <c r="I108" s="79" t="inlineStr">
        <is>
          <t>PIX</t>
        </is>
      </c>
      <c r="J108" s="236" t="n"/>
      <c r="K108" s="236" t="n"/>
      <c r="L108" s="236" t="n"/>
      <c r="M108" s="236" t="n"/>
      <c r="N108" s="236" t="n"/>
      <c r="O108" s="236" t="n"/>
      <c r="P108" s="236" t="n"/>
    </row>
    <row r="109">
      <c r="A109" s="236" t="inlineStr">
        <is>
          <t>Agente 20</t>
        </is>
      </c>
      <c r="B109" s="79" t="n">
        <v>1</v>
      </c>
      <c r="C109" s="68" t="n">
        <v>60</v>
      </c>
      <c r="D109" s="68">
        <f>C109*B109</f>
        <v/>
      </c>
      <c r="E109" s="117" t="n">
        <v>20</v>
      </c>
      <c r="F109" s="87">
        <f>E109+D109+D110</f>
        <v/>
      </c>
      <c r="G109" s="69">
        <f>F109</f>
        <v/>
      </c>
      <c r="H109" s="70" t="n">
        <v>45042</v>
      </c>
      <c r="I109" s="79" t="inlineStr">
        <is>
          <t>PIX</t>
        </is>
      </c>
      <c r="J109" s="165" t="n"/>
      <c r="K109" s="165" t="n"/>
      <c r="L109" s="236" t="n"/>
      <c r="M109" s="236" t="n"/>
      <c r="N109" s="236" t="n"/>
      <c r="O109" s="236" t="n"/>
      <c r="P109" s="236" t="n"/>
    </row>
    <row r="110">
      <c r="A110" s="236" t="inlineStr">
        <is>
          <t>Correio 38</t>
        </is>
      </c>
      <c r="B110" s="79" t="n">
        <v>1</v>
      </c>
      <c r="C110" s="68" t="n">
        <v>20</v>
      </c>
      <c r="D110" s="68">
        <f>C110*B110</f>
        <v/>
      </c>
      <c r="E110" s="340" t="n"/>
      <c r="F110" s="340" t="n"/>
      <c r="G110" s="340" t="n"/>
      <c r="H110" s="340" t="n"/>
      <c r="I110" s="340" t="n"/>
      <c r="J110" s="340" t="n"/>
      <c r="K110" s="340" t="n"/>
      <c r="L110" s="236" t="n"/>
      <c r="M110" s="236" t="n"/>
      <c r="N110" s="236" t="n"/>
      <c r="O110" s="236" t="n"/>
      <c r="P110" s="236" t="n"/>
    </row>
    <row r="111">
      <c r="A111" s="236" t="inlineStr">
        <is>
          <t>Agente 20</t>
        </is>
      </c>
      <c r="B111" s="79" t="n">
        <v>1</v>
      </c>
      <c r="C111" s="68" t="n">
        <v>60</v>
      </c>
      <c r="D111" s="68">
        <f>C111*B111</f>
        <v/>
      </c>
      <c r="E111" s="90" t="n"/>
      <c r="F111" s="87">
        <f>E111+D111</f>
        <v/>
      </c>
      <c r="G111" s="69">
        <f>F111</f>
        <v/>
      </c>
      <c r="H111" s="91" t="n">
        <v>45043</v>
      </c>
      <c r="I111" s="93" t="inlineStr">
        <is>
          <t>PIX</t>
        </is>
      </c>
      <c r="J111" s="94" t="n"/>
      <c r="K111" s="94" t="n"/>
      <c r="L111" s="236" t="n"/>
      <c r="M111" s="236" t="n"/>
      <c r="N111" s="236" t="n"/>
      <c r="O111" s="236" t="n"/>
      <c r="P111" s="236" t="n"/>
    </row>
    <row r="112">
      <c r="A112" s="236" t="inlineStr">
        <is>
          <t>Agente 20</t>
        </is>
      </c>
      <c r="B112" s="79" t="n">
        <v>3</v>
      </c>
      <c r="C112" s="68" t="n">
        <v>60</v>
      </c>
      <c r="D112" s="68">
        <f>C112*B112</f>
        <v/>
      </c>
      <c r="E112" s="90" t="n"/>
      <c r="F112" s="87">
        <f>E112+D112</f>
        <v/>
      </c>
      <c r="G112" s="69">
        <f>F112</f>
        <v/>
      </c>
      <c r="H112" s="91" t="n">
        <v>45043</v>
      </c>
      <c r="I112" s="93" t="n"/>
      <c r="J112" s="94" t="n"/>
      <c r="K112" s="94" t="n"/>
      <c r="L112" s="236" t="n"/>
      <c r="M112" s="236" t="n"/>
      <c r="N112" s="236" t="n"/>
      <c r="O112" s="236" t="n"/>
      <c r="P112" s="236" t="n"/>
    </row>
    <row r="113">
      <c r="A113" s="236" t="inlineStr">
        <is>
          <t>Agente 20</t>
        </is>
      </c>
      <c r="B113" s="79" t="n">
        <v>1</v>
      </c>
      <c r="C113" s="68" t="n">
        <v>60</v>
      </c>
      <c r="D113" s="68">
        <f>C113*B113</f>
        <v/>
      </c>
      <c r="E113" s="90" t="n"/>
      <c r="F113" s="87">
        <f>E113+D113</f>
        <v/>
      </c>
      <c r="G113" s="69">
        <f>F113</f>
        <v/>
      </c>
      <c r="H113" s="91" t="n">
        <v>45043</v>
      </c>
      <c r="I113" s="93" t="inlineStr">
        <is>
          <t>PIX</t>
        </is>
      </c>
      <c r="J113" s="94" t="n"/>
      <c r="K113" s="94" t="n"/>
      <c r="L113" s="236" t="n"/>
      <c r="M113" s="236" t="n"/>
      <c r="N113" s="236" t="n"/>
      <c r="O113" s="236" t="n"/>
      <c r="P113" s="236" t="n"/>
    </row>
    <row r="114">
      <c r="A114" s="236" t="inlineStr">
        <is>
          <t>Agente 20</t>
        </is>
      </c>
      <c r="B114" s="79" t="n">
        <v>1</v>
      </c>
      <c r="C114" s="68" t="n">
        <v>60</v>
      </c>
      <c r="D114" s="68">
        <f>C114*B114</f>
        <v/>
      </c>
      <c r="E114" s="90" t="n"/>
      <c r="F114" s="87">
        <f>E114+D114</f>
        <v/>
      </c>
      <c r="G114" s="69">
        <f>F114</f>
        <v/>
      </c>
      <c r="H114" s="91" t="n">
        <v>45043</v>
      </c>
      <c r="I114" s="93" t="inlineStr">
        <is>
          <t>PIX</t>
        </is>
      </c>
      <c r="J114" s="94" t="n"/>
      <c r="K114" s="94" t="n"/>
      <c r="L114" s="236" t="n"/>
      <c r="M114" s="236" t="n"/>
      <c r="N114" s="236" t="n"/>
      <c r="O114" s="236" t="n"/>
      <c r="P114" s="236" t="n"/>
    </row>
    <row r="115">
      <c r="A115" s="236" t="inlineStr">
        <is>
          <t>Agente 20</t>
        </is>
      </c>
      <c r="B115" s="79" t="n">
        <v>1</v>
      </c>
      <c r="C115" s="68" t="n">
        <v>60</v>
      </c>
      <c r="D115" s="68">
        <f>C115*B115</f>
        <v/>
      </c>
      <c r="E115" s="90" t="n"/>
      <c r="F115" s="87">
        <f>E115+D115</f>
        <v/>
      </c>
      <c r="G115" s="69">
        <f>F115</f>
        <v/>
      </c>
      <c r="H115" s="91" t="n">
        <v>45043</v>
      </c>
      <c r="I115" s="93" t="inlineStr">
        <is>
          <t>PIX</t>
        </is>
      </c>
      <c r="J115" s="94" t="n"/>
      <c r="K115" s="94" t="n"/>
      <c r="L115" s="236" t="n"/>
      <c r="M115" s="236" t="n"/>
      <c r="N115" s="236" t="n"/>
      <c r="O115" s="236" t="n"/>
      <c r="P115" s="236" t="n"/>
    </row>
    <row r="116">
      <c r="A116" s="236" t="inlineStr">
        <is>
          <t>Agente 20</t>
        </is>
      </c>
      <c r="B116" s="79" t="n">
        <v>1</v>
      </c>
      <c r="C116" s="68" t="n">
        <v>60</v>
      </c>
      <c r="D116" s="68">
        <f>C116*B116</f>
        <v/>
      </c>
      <c r="E116" s="76" t="n">
        <v>15</v>
      </c>
      <c r="F116" s="87">
        <f>E116+D116</f>
        <v/>
      </c>
      <c r="G116" s="69">
        <f>F116</f>
        <v/>
      </c>
      <c r="H116" s="70" t="n">
        <v>45043</v>
      </c>
      <c r="I116" s="79" t="inlineStr">
        <is>
          <t>PIX</t>
        </is>
      </c>
      <c r="J116" s="236" t="n"/>
      <c r="K116" s="236" t="n"/>
      <c r="L116" s="236" t="n"/>
      <c r="M116" s="236" t="n"/>
      <c r="N116" s="236" t="n"/>
      <c r="O116" s="236" t="n"/>
      <c r="P116" s="236" t="n"/>
    </row>
    <row r="117">
      <c r="A117" s="236" t="inlineStr">
        <is>
          <t>Agente 20</t>
        </is>
      </c>
      <c r="B117" s="79" t="n">
        <v>15</v>
      </c>
      <c r="C117" s="68" t="n">
        <v>60</v>
      </c>
      <c r="D117" s="68">
        <f>C117*B117</f>
        <v/>
      </c>
      <c r="E117" s="76" t="n"/>
      <c r="F117" s="87">
        <f>E117+D117+D118+D119</f>
        <v/>
      </c>
      <c r="G117" s="69">
        <f>F117</f>
        <v/>
      </c>
      <c r="H117" s="70" t="n">
        <v>45043</v>
      </c>
      <c r="I117" s="79" t="inlineStr">
        <is>
          <t>PIX</t>
        </is>
      </c>
      <c r="J117" s="165" t="n"/>
      <c r="K117" s="165" t="n"/>
      <c r="L117" s="236" t="n"/>
      <c r="M117" s="236" t="n"/>
      <c r="N117" s="236" t="n"/>
      <c r="O117" s="236" t="n"/>
      <c r="P117" s="236" t="n"/>
    </row>
    <row r="118">
      <c r="A118" s="236" t="inlineStr">
        <is>
          <t>La Sexualidad Es Transgénero</t>
        </is>
      </c>
      <c r="B118" s="79" t="n">
        <v>1</v>
      </c>
      <c r="C118" s="68" t="n">
        <v>85</v>
      </c>
      <c r="D118" s="68">
        <f>C118*B118</f>
        <v/>
      </c>
      <c r="E118" s="76" t="n"/>
      <c r="F118" s="343" t="n"/>
      <c r="G118" s="343" t="n"/>
      <c r="H118" s="343" t="n"/>
      <c r="I118" s="343" t="n"/>
      <c r="J118" s="343" t="n"/>
      <c r="K118" s="343" t="n"/>
      <c r="L118" s="236" t="n"/>
      <c r="M118" s="236" t="n"/>
      <c r="N118" s="236" t="n"/>
      <c r="O118" s="236" t="n"/>
      <c r="P118" s="236" t="n"/>
    </row>
    <row r="119">
      <c r="A119" s="236" t="inlineStr">
        <is>
          <t>Cómo comienzan y finalizan los análisis</t>
        </is>
      </c>
      <c r="B119" s="79" t="n">
        <v>1</v>
      </c>
      <c r="C119" s="68" t="n">
        <v>75</v>
      </c>
      <c r="D119" s="68">
        <f>C119*B119</f>
        <v/>
      </c>
      <c r="E119" s="76" t="n"/>
      <c r="F119" s="340" t="n"/>
      <c r="G119" s="340" t="n"/>
      <c r="H119" s="340" t="n"/>
      <c r="I119" s="340" t="n"/>
      <c r="J119" s="340" t="n"/>
      <c r="K119" s="340" t="n"/>
      <c r="L119" s="236" t="n"/>
      <c r="M119" s="236" t="n"/>
      <c r="N119" s="236" t="n"/>
      <c r="O119" s="236" t="n"/>
      <c r="P119" s="236" t="n"/>
    </row>
    <row r="120">
      <c r="A120" s="236" t="inlineStr">
        <is>
          <t>Agente 20</t>
        </is>
      </c>
      <c r="B120" s="79" t="n">
        <v>1</v>
      </c>
      <c r="C120" s="68" t="n">
        <v>60</v>
      </c>
      <c r="D120" s="68">
        <f>C120*B120</f>
        <v/>
      </c>
      <c r="E120" s="76" t="n"/>
      <c r="F120" s="87">
        <f>E120+D120+D121+D122</f>
        <v/>
      </c>
      <c r="G120" s="69">
        <f>F120</f>
        <v/>
      </c>
      <c r="H120" s="70" t="n">
        <v>45044</v>
      </c>
      <c r="I120" s="79" t="inlineStr">
        <is>
          <t>PIX</t>
        </is>
      </c>
      <c r="J120" s="165" t="n"/>
      <c r="K120" s="165" t="n"/>
      <c r="L120" s="236" t="n"/>
      <c r="M120" s="236" t="n"/>
      <c r="N120" s="236" t="n"/>
      <c r="O120" s="236" t="n"/>
      <c r="P120" s="236" t="n"/>
    </row>
    <row r="121">
      <c r="A121" s="236" t="inlineStr">
        <is>
          <t>La Sexualidad Es Transgénero</t>
        </is>
      </c>
      <c r="B121" s="79" t="n">
        <v>1</v>
      </c>
      <c r="C121" s="68" t="n">
        <v>85</v>
      </c>
      <c r="D121" s="68">
        <f>C121*B121</f>
        <v/>
      </c>
      <c r="E121" s="76" t="n"/>
      <c r="F121" s="343" t="n"/>
      <c r="G121" s="343" t="n"/>
      <c r="H121" s="343" t="n"/>
      <c r="I121" s="343" t="n"/>
      <c r="J121" s="343" t="n"/>
      <c r="K121" s="343" t="n"/>
      <c r="L121" s="236" t="n"/>
      <c r="M121" s="236" t="n"/>
      <c r="N121" s="236" t="n"/>
      <c r="O121" s="236" t="n"/>
      <c r="P121" s="236" t="n"/>
    </row>
    <row r="122">
      <c r="A122" s="236" t="inlineStr">
        <is>
          <t>Cómo comienzan y finalizan los análisis</t>
        </is>
      </c>
      <c r="B122" s="79" t="n">
        <v>1</v>
      </c>
      <c r="C122" s="68" t="n">
        <v>75</v>
      </c>
      <c r="D122" s="68">
        <f>C122*B122</f>
        <v/>
      </c>
      <c r="E122" s="76" t="n"/>
      <c r="F122" s="340" t="n"/>
      <c r="G122" s="340" t="n"/>
      <c r="H122" s="340" t="n"/>
      <c r="I122" s="340" t="n"/>
      <c r="J122" s="340" t="n"/>
      <c r="K122" s="340" t="n"/>
      <c r="L122" s="236" t="n"/>
      <c r="M122" s="236" t="n"/>
      <c r="N122" s="236" t="n"/>
      <c r="O122" s="236" t="n"/>
      <c r="P122" s="236" t="n"/>
    </row>
    <row r="123">
      <c r="A123" s="236" t="inlineStr">
        <is>
          <t>Agente 20</t>
        </is>
      </c>
      <c r="B123" s="79" t="n">
        <v>2</v>
      </c>
      <c r="C123" s="68" t="n">
        <v>60</v>
      </c>
      <c r="D123" s="68">
        <f>C123*B123</f>
        <v/>
      </c>
      <c r="E123" s="76" t="n"/>
      <c r="F123" s="87">
        <f>E123+D123</f>
        <v/>
      </c>
      <c r="G123" s="69">
        <f>F123</f>
        <v/>
      </c>
      <c r="H123" s="143" t="n">
        <v>45043</v>
      </c>
      <c r="I123" s="79" t="inlineStr">
        <is>
          <t>PIX</t>
        </is>
      </c>
      <c r="J123" s="236" t="n"/>
      <c r="K123" s="236" t="n"/>
      <c r="L123" s="236" t="n"/>
      <c r="M123" s="236" t="n"/>
      <c r="N123" s="236" t="n"/>
      <c r="O123" s="236" t="n"/>
      <c r="P123" s="236" t="n"/>
    </row>
    <row r="124">
      <c r="A124" s="236" t="inlineStr">
        <is>
          <t>Agente 20</t>
        </is>
      </c>
      <c r="B124" s="79" t="n">
        <v>1</v>
      </c>
      <c r="C124" s="68" t="n">
        <v>60</v>
      </c>
      <c r="D124" s="68">
        <f>C124*B124</f>
        <v/>
      </c>
      <c r="E124" s="76" t="n"/>
      <c r="F124" s="87">
        <f>E124+D124</f>
        <v/>
      </c>
      <c r="G124" s="69">
        <f>F124</f>
        <v/>
      </c>
      <c r="H124" s="143" t="n">
        <v>45044</v>
      </c>
      <c r="I124" s="79" t="inlineStr">
        <is>
          <t>PIX</t>
        </is>
      </c>
      <c r="J124" s="236" t="n"/>
      <c r="K124" s="236" t="n"/>
      <c r="L124" s="236" t="n"/>
      <c r="M124" s="236" t="n"/>
      <c r="N124" s="236" t="n"/>
      <c r="O124" s="236" t="n"/>
      <c r="P124" s="236" t="n"/>
    </row>
    <row r="125">
      <c r="A125" s="236" t="inlineStr">
        <is>
          <t>Agente 20</t>
        </is>
      </c>
      <c r="B125" s="79" t="n">
        <v>1</v>
      </c>
      <c r="C125" s="68" t="n">
        <v>60</v>
      </c>
      <c r="D125" s="68">
        <f>C125*B125</f>
        <v/>
      </c>
      <c r="E125" s="76" t="n">
        <v>15</v>
      </c>
      <c r="F125" s="87">
        <f>E125+D125</f>
        <v/>
      </c>
      <c r="G125" s="69">
        <f>F125</f>
        <v/>
      </c>
      <c r="H125" s="143" t="n">
        <v>45044</v>
      </c>
      <c r="I125" s="79" t="inlineStr">
        <is>
          <t>PIX</t>
        </is>
      </c>
      <c r="J125" s="236" t="n"/>
      <c r="K125" s="236" t="n"/>
      <c r="L125" s="236" t="n"/>
      <c r="M125" s="236" t="n"/>
      <c r="N125" s="236" t="n"/>
      <c r="O125" s="236" t="n"/>
      <c r="P125" s="236" t="n"/>
    </row>
    <row r="126">
      <c r="A126" s="236" t="inlineStr">
        <is>
          <t>Revista Carrossel 2</t>
        </is>
      </c>
      <c r="B126" s="79" t="n">
        <v>1</v>
      </c>
      <c r="C126" s="68" t="n">
        <v>50</v>
      </c>
      <c r="D126" s="68">
        <f>C126*B126</f>
        <v/>
      </c>
      <c r="E126" s="117" t="n"/>
      <c r="F126" s="87">
        <f>E126+D126+D127</f>
        <v/>
      </c>
      <c r="G126" s="69">
        <f>F126</f>
        <v/>
      </c>
      <c r="H126" s="70" t="n">
        <v>45044</v>
      </c>
      <c r="I126" s="79" t="inlineStr">
        <is>
          <t>PIX</t>
        </is>
      </c>
      <c r="J126" s="165" t="n"/>
      <c r="K126" s="165" t="n"/>
      <c r="L126" s="236" t="n"/>
      <c r="M126" s="236" t="n"/>
      <c r="N126" s="236" t="n"/>
      <c r="O126" s="236" t="n"/>
      <c r="P126" s="236" t="n"/>
    </row>
    <row r="127">
      <c r="A127" s="236" t="inlineStr">
        <is>
          <t>Cómo comienzan y finalizan los análisis</t>
        </is>
      </c>
      <c r="B127" s="79" t="n">
        <v>1</v>
      </c>
      <c r="C127" s="68" t="n">
        <v>75</v>
      </c>
      <c r="D127" s="68">
        <f>C127*B127</f>
        <v/>
      </c>
      <c r="E127" s="340" t="n"/>
      <c r="F127" s="340" t="n"/>
      <c r="G127" s="340" t="n"/>
      <c r="H127" s="340" t="n"/>
      <c r="I127" s="340" t="n"/>
      <c r="J127" s="340" t="n"/>
      <c r="K127" s="340" t="n"/>
      <c r="L127" s="236" t="n"/>
      <c r="M127" s="236" t="n"/>
      <c r="N127" s="236" t="n"/>
      <c r="O127" s="236" t="n"/>
      <c r="P127" s="236" t="n"/>
    </row>
    <row r="128">
      <c r="A128" s="236" t="inlineStr">
        <is>
          <t>Agente 20</t>
        </is>
      </c>
      <c r="B128" s="79" t="n">
        <v>7</v>
      </c>
      <c r="C128" s="68" t="n">
        <v>60</v>
      </c>
      <c r="D128" s="68">
        <f>C128*B128</f>
        <v/>
      </c>
      <c r="E128" s="76" t="n"/>
      <c r="F128" s="87">
        <f>E128+D128</f>
        <v/>
      </c>
      <c r="G128" s="69">
        <f>F128</f>
        <v/>
      </c>
      <c r="H128" s="143" t="n">
        <v>45048</v>
      </c>
      <c r="I128" s="79" t="inlineStr">
        <is>
          <t>PIX</t>
        </is>
      </c>
      <c r="J128" s="236" t="n"/>
      <c r="K128" s="236" t="n"/>
      <c r="L128" s="236" t="n"/>
      <c r="M128" s="236" t="n"/>
      <c r="N128" s="236" t="n"/>
      <c r="O128" s="236" t="n"/>
      <c r="P128" s="236" t="n"/>
    </row>
    <row r="129">
      <c r="A129" s="236" t="inlineStr">
        <is>
          <t>Correio 56</t>
        </is>
      </c>
      <c r="B129" s="79" t="n">
        <v>1</v>
      </c>
      <c r="C129" s="68" t="n">
        <v>35</v>
      </c>
      <c r="D129" s="68">
        <f>C129*B129</f>
        <v/>
      </c>
      <c r="E129" s="76" t="n"/>
      <c r="F129" s="87">
        <f>E129+D129</f>
        <v/>
      </c>
      <c r="G129" s="69">
        <f>F129</f>
        <v/>
      </c>
      <c r="H129" s="143" t="n">
        <v>45048</v>
      </c>
      <c r="I129" s="79" t="inlineStr">
        <is>
          <t>PIX</t>
        </is>
      </c>
      <c r="J129" s="236" t="n"/>
      <c r="K129" s="236" t="n"/>
      <c r="L129" s="236" t="n"/>
      <c r="M129" s="236" t="n"/>
      <c r="N129" s="236" t="n"/>
      <c r="O129" s="236" t="n"/>
      <c r="P129" s="236" t="n"/>
    </row>
    <row r="130">
      <c r="A130" s="236" t="inlineStr">
        <is>
          <t>Violencia en Las escuelas</t>
        </is>
      </c>
      <c r="B130" s="79" t="n">
        <v>1</v>
      </c>
      <c r="C130" s="68" t="n">
        <v>85</v>
      </c>
      <c r="D130" s="68">
        <f>C130*B130</f>
        <v/>
      </c>
      <c r="E130" s="76" t="n">
        <v>15</v>
      </c>
      <c r="F130" s="87">
        <f>E130+D130</f>
        <v/>
      </c>
      <c r="G130" s="69">
        <f>F130</f>
        <v/>
      </c>
      <c r="H130" s="143" t="n">
        <v>45048</v>
      </c>
      <c r="I130" s="79" t="inlineStr">
        <is>
          <t>PIX</t>
        </is>
      </c>
      <c r="J130" s="236" t="n"/>
      <c r="K130" s="236" t="n"/>
      <c r="L130" s="236" t="n"/>
      <c r="M130" s="236" t="n"/>
      <c r="N130" s="236" t="n"/>
      <c r="O130" s="236" t="n"/>
      <c r="P130" s="236" t="n"/>
    </row>
    <row r="131">
      <c r="A131" s="236" t="inlineStr">
        <is>
          <t>Agente 20</t>
        </is>
      </c>
      <c r="B131" s="79" t="n">
        <v>1</v>
      </c>
      <c r="C131" s="68" t="n">
        <v>60</v>
      </c>
      <c r="D131" s="68">
        <f>C131*B131</f>
        <v/>
      </c>
      <c r="E131" s="76" t="n"/>
      <c r="F131" s="87">
        <f>E131+D131</f>
        <v/>
      </c>
      <c r="G131" s="69">
        <f>F131</f>
        <v/>
      </c>
      <c r="H131" s="143" t="n">
        <v>45048</v>
      </c>
      <c r="I131" s="79" t="inlineStr">
        <is>
          <t>PIX</t>
        </is>
      </c>
      <c r="J131" s="236" t="n"/>
      <c r="K131" s="236" t="n"/>
      <c r="L131" s="236" t="n"/>
      <c r="M131" s="236" t="n"/>
      <c r="N131" s="236" t="n"/>
      <c r="O131" s="236" t="n"/>
      <c r="P131" s="236" t="n"/>
    </row>
    <row r="132">
      <c r="A132" s="236" t="inlineStr">
        <is>
          <t>Agente 20</t>
        </is>
      </c>
      <c r="B132" s="79" t="n">
        <v>2</v>
      </c>
      <c r="C132" s="68" t="n">
        <v>60</v>
      </c>
      <c r="D132" s="68">
        <f>C132*B132</f>
        <v/>
      </c>
      <c r="E132" s="76" t="n"/>
      <c r="F132" s="87">
        <f>E132+D132</f>
        <v/>
      </c>
      <c r="G132" s="69">
        <f>F132</f>
        <v/>
      </c>
      <c r="H132" s="143" t="n">
        <v>45049</v>
      </c>
      <c r="I132" s="79" t="inlineStr">
        <is>
          <t>PIX</t>
        </is>
      </c>
      <c r="J132" s="236" t="n"/>
      <c r="K132" s="236" t="n"/>
      <c r="L132" s="236" t="n"/>
      <c r="M132" s="236" t="n"/>
      <c r="N132" s="236" t="n"/>
      <c r="O132" s="236" t="n"/>
      <c r="P132" s="236" t="n"/>
    </row>
    <row r="133">
      <c r="A133" s="236" t="inlineStr">
        <is>
          <t>La Sexualidad Es Transgénero</t>
        </is>
      </c>
      <c r="B133" s="79" t="n">
        <v>1</v>
      </c>
      <c r="C133" s="68" t="n">
        <v>85</v>
      </c>
      <c r="D133" s="68">
        <f>C133*B133</f>
        <v/>
      </c>
      <c r="E133" s="76" t="n">
        <v>10</v>
      </c>
      <c r="F133" s="87">
        <f>E133+D133</f>
        <v/>
      </c>
      <c r="G133" s="69">
        <f>F133</f>
        <v/>
      </c>
      <c r="H133" s="143" t="n">
        <v>45049</v>
      </c>
      <c r="I133" s="79" t="inlineStr">
        <is>
          <t>PIX</t>
        </is>
      </c>
      <c r="J133" s="236" t="n"/>
      <c r="K133" s="236" t="n"/>
      <c r="L133" s="236" t="n"/>
      <c r="M133" s="236" t="n"/>
      <c r="N133" s="236" t="n"/>
      <c r="O133" s="236" t="n"/>
      <c r="P133" s="236" t="n"/>
    </row>
    <row r="134">
      <c r="A134" s="236" t="inlineStr">
        <is>
          <t>Lacan Hispano</t>
        </is>
      </c>
      <c r="B134" s="79" t="n">
        <v>1</v>
      </c>
      <c r="C134" s="68" t="n">
        <v>130</v>
      </c>
      <c r="D134" s="68">
        <f>C134*B134</f>
        <v/>
      </c>
      <c r="E134" s="117" t="n"/>
      <c r="F134" s="87">
        <f>E134+D134+D135</f>
        <v/>
      </c>
      <c r="G134" s="69">
        <f>F134</f>
        <v/>
      </c>
      <c r="H134" s="70" t="n">
        <v>45049</v>
      </c>
      <c r="I134" s="79" t="inlineStr">
        <is>
          <t>PIX</t>
        </is>
      </c>
      <c r="J134" s="165" t="n"/>
      <c r="K134" s="165" t="n"/>
      <c r="L134" s="236" t="n"/>
      <c r="M134" s="236" t="n"/>
      <c r="N134" s="236" t="n"/>
      <c r="O134" s="236" t="n"/>
      <c r="P134" s="236" t="n"/>
    </row>
    <row r="135">
      <c r="A135" s="236" t="inlineStr">
        <is>
          <t>La condicion perversa</t>
        </is>
      </c>
      <c r="B135" s="79" t="n">
        <v>1</v>
      </c>
      <c r="C135" s="68" t="n">
        <v>80</v>
      </c>
      <c r="D135" s="68">
        <f>C135*B135</f>
        <v/>
      </c>
      <c r="E135" s="340" t="n"/>
      <c r="F135" s="340" t="n"/>
      <c r="G135" s="340" t="n"/>
      <c r="H135" s="340" t="n"/>
      <c r="I135" s="340" t="n"/>
      <c r="J135" s="340" t="n"/>
      <c r="K135" s="340" t="n"/>
      <c r="L135" s="236" t="n"/>
      <c r="M135" s="236" t="n"/>
      <c r="N135" s="236" t="n"/>
      <c r="O135" s="236" t="n"/>
      <c r="P135" s="236" t="n"/>
    </row>
    <row r="136">
      <c r="A136" s="236" t="inlineStr">
        <is>
          <t>La condicion perversa</t>
        </is>
      </c>
      <c r="B136" s="79" t="n">
        <v>1</v>
      </c>
      <c r="C136" s="68" t="n">
        <v>80</v>
      </c>
      <c r="D136" s="68">
        <f>C136*B136</f>
        <v/>
      </c>
      <c r="E136" s="117" t="n"/>
      <c r="F136" s="87">
        <f>D136+D137</f>
        <v/>
      </c>
      <c r="G136" s="69">
        <f>F136</f>
        <v/>
      </c>
      <c r="H136" s="70" t="n">
        <v>45050</v>
      </c>
      <c r="I136" s="79" t="inlineStr">
        <is>
          <t>PIX</t>
        </is>
      </c>
      <c r="J136" s="165" t="n"/>
      <c r="K136" s="165" t="n"/>
      <c r="L136" s="236" t="n"/>
      <c r="M136" s="236" t="n"/>
      <c r="N136" s="236" t="n"/>
      <c r="O136" s="236" t="n"/>
      <c r="P136" s="236" t="n"/>
    </row>
    <row r="137">
      <c r="A137" s="236" t="inlineStr">
        <is>
          <t>Cuando el Cuerco se Deshace</t>
        </is>
      </c>
      <c r="B137" s="79" t="n">
        <v>1</v>
      </c>
      <c r="C137" s="68" t="n">
        <v>95</v>
      </c>
      <c r="D137" s="68">
        <f>C137*B137</f>
        <v/>
      </c>
      <c r="E137" s="340" t="n"/>
      <c r="F137" s="340" t="n"/>
      <c r="G137" s="340" t="n"/>
      <c r="H137" s="340" t="n"/>
      <c r="I137" s="340" t="n"/>
      <c r="J137" s="340" t="n"/>
      <c r="K137" s="340" t="n"/>
      <c r="L137" s="236" t="n"/>
      <c r="M137" s="236" t="n"/>
      <c r="N137" s="236" t="n"/>
      <c r="O137" s="236" t="n"/>
      <c r="P137" s="236" t="n"/>
    </row>
    <row r="138">
      <c r="A138" s="236" t="inlineStr">
        <is>
          <t>Cuando el Cuerco se Deshace</t>
        </is>
      </c>
      <c r="B138" s="79" t="n">
        <v>1</v>
      </c>
      <c r="C138" s="68" t="n">
        <v>95</v>
      </c>
      <c r="D138" s="68">
        <f>C138*B138</f>
        <v/>
      </c>
      <c r="E138" s="123" t="n">
        <v>15</v>
      </c>
      <c r="F138" s="124">
        <f>D138+E138</f>
        <v/>
      </c>
      <c r="G138" s="119">
        <f>F138</f>
        <v/>
      </c>
      <c r="H138" s="120" t="n">
        <v>45050</v>
      </c>
      <c r="I138" s="121" t="inlineStr">
        <is>
          <t>PIX</t>
        </is>
      </c>
      <c r="J138" s="122" t="n"/>
      <c r="K138" s="122" t="n"/>
      <c r="L138" s="236" t="n"/>
      <c r="M138" s="236" t="n"/>
      <c r="N138" s="236" t="n"/>
      <c r="O138" s="236" t="n"/>
      <c r="P138" s="236" t="n"/>
    </row>
    <row r="139">
      <c r="A139" s="236" t="inlineStr">
        <is>
          <t>IPB Seminários - Nieves Soria</t>
        </is>
      </c>
      <c r="B139" s="79" t="n">
        <v>1</v>
      </c>
      <c r="C139" s="68" t="n">
        <v>50</v>
      </c>
      <c r="D139" s="68">
        <f>C139*B139</f>
        <v/>
      </c>
      <c r="E139" s="117" t="n">
        <v>15</v>
      </c>
      <c r="F139" s="87">
        <f>D139+E139</f>
        <v/>
      </c>
      <c r="G139" s="69">
        <f>F139</f>
        <v/>
      </c>
      <c r="H139" s="70" t="n">
        <v>45051</v>
      </c>
      <c r="I139" s="79" t="inlineStr">
        <is>
          <t>PIX</t>
        </is>
      </c>
      <c r="J139" s="165" t="n"/>
      <c r="K139" s="122" t="n"/>
      <c r="L139" s="236" t="n"/>
      <c r="M139" s="236" t="n"/>
      <c r="N139" s="236" t="n"/>
      <c r="O139" s="236" t="n"/>
      <c r="P139" s="236" t="n"/>
    </row>
    <row r="140">
      <c r="A140" s="236" t="inlineStr">
        <is>
          <t>Agente 20</t>
        </is>
      </c>
      <c r="B140" s="79" t="n">
        <v>1</v>
      </c>
      <c r="C140" s="68" t="n">
        <v>0</v>
      </c>
      <c r="D140" s="68">
        <f>C140*B140</f>
        <v/>
      </c>
      <c r="E140" s="117" t="n"/>
      <c r="F140" s="87">
        <f>D140+E140</f>
        <v/>
      </c>
      <c r="G140" s="69">
        <f>F140</f>
        <v/>
      </c>
      <c r="H140" s="70" t="n">
        <v>45051</v>
      </c>
      <c r="I140" s="79" t="inlineStr">
        <is>
          <t>PIX</t>
        </is>
      </c>
      <c r="J140" s="165" t="n"/>
      <c r="K140" s="122" t="n"/>
      <c r="L140" s="236" t="n"/>
      <c r="M140" s="236" t="n"/>
      <c r="N140" s="236" t="n"/>
      <c r="O140" s="236" t="n"/>
      <c r="P140" s="236" t="n"/>
    </row>
    <row r="141">
      <c r="A141" s="236" t="inlineStr">
        <is>
          <t>La Ciudad Analitica - Alta Suciedad</t>
        </is>
      </c>
      <c r="B141" s="79" t="n">
        <v>1</v>
      </c>
      <c r="C141" s="68" t="n">
        <v>70</v>
      </c>
      <c r="D141" s="68">
        <f>C141*B141</f>
        <v/>
      </c>
      <c r="E141" s="117" t="n"/>
      <c r="F141" s="124">
        <f>D141+E141</f>
        <v/>
      </c>
      <c r="G141" s="119">
        <f>F141</f>
        <v/>
      </c>
      <c r="H141" s="70" t="n">
        <v>45051</v>
      </c>
      <c r="I141" s="79" t="inlineStr">
        <is>
          <t>PIX</t>
        </is>
      </c>
      <c r="J141" s="165" t="n"/>
      <c r="K141" s="122" t="n"/>
      <c r="L141" s="236" t="n"/>
      <c r="M141" s="236" t="n"/>
      <c r="N141" s="236" t="n"/>
      <c r="O141" s="236" t="n"/>
      <c r="P141" s="236" t="n"/>
    </row>
    <row r="142">
      <c r="A142" s="236" t="inlineStr">
        <is>
          <t>La condicion perversa</t>
        </is>
      </c>
      <c r="B142" s="79" t="n">
        <v>7</v>
      </c>
      <c r="C142" s="68" t="n">
        <v>80</v>
      </c>
      <c r="D142" s="68">
        <f>C142*B142</f>
        <v/>
      </c>
      <c r="E142" s="88" t="n"/>
      <c r="F142" s="124">
        <f>D142+E142</f>
        <v/>
      </c>
      <c r="G142" s="119">
        <f>F142</f>
        <v/>
      </c>
      <c r="H142" s="83" t="n">
        <v>45054</v>
      </c>
      <c r="I142" s="86" t="inlineStr">
        <is>
          <t>PIX</t>
        </is>
      </c>
      <c r="J142" s="84" t="n"/>
      <c r="K142" s="122" t="n"/>
      <c r="L142" s="236" t="n"/>
      <c r="M142" s="236" t="n"/>
      <c r="N142" s="236" t="n"/>
      <c r="O142" s="236" t="n"/>
      <c r="P142" s="236" t="n"/>
    </row>
    <row r="143">
      <c r="A143" s="236" t="inlineStr">
        <is>
          <t>Lacan e a Solução Elegante Na Psicose</t>
        </is>
      </c>
      <c r="B143" s="79" t="n">
        <v>1</v>
      </c>
      <c r="C143" s="68" t="n">
        <v>65</v>
      </c>
      <c r="D143" s="68">
        <f>C143*B143</f>
        <v/>
      </c>
      <c r="E143" s="117" t="n"/>
      <c r="F143" s="87">
        <f>E143+D143+D144</f>
        <v/>
      </c>
      <c r="G143" s="69">
        <f>F143</f>
        <v/>
      </c>
      <c r="H143" s="70" t="n">
        <v>45056</v>
      </c>
      <c r="I143" s="79" t="inlineStr">
        <is>
          <t>PIX</t>
        </is>
      </c>
      <c r="J143" s="165" t="n"/>
      <c r="K143" s="165" t="n"/>
      <c r="L143" s="236" t="n"/>
      <c r="M143" s="236" t="n"/>
      <c r="N143" s="236" t="n"/>
      <c r="O143" s="236" t="n"/>
      <c r="P143" s="236" t="n"/>
    </row>
    <row r="144">
      <c r="A144" s="236" t="inlineStr">
        <is>
          <t>La Ciudad Analítica N.2</t>
        </is>
      </c>
      <c r="B144" s="79" t="n">
        <v>1</v>
      </c>
      <c r="C144" s="68" t="n">
        <v>80</v>
      </c>
      <c r="D144" s="68">
        <f>C144*B144</f>
        <v/>
      </c>
      <c r="E144" s="340" t="n"/>
      <c r="F144" s="340" t="n"/>
      <c r="G144" s="340" t="n"/>
      <c r="H144" s="340" t="n"/>
      <c r="I144" s="340" t="n"/>
      <c r="J144" s="340" t="n"/>
      <c r="K144" s="340" t="n"/>
      <c r="L144" s="236" t="n"/>
      <c r="M144" s="236" t="n"/>
      <c r="N144" s="236" t="n"/>
      <c r="O144" s="236" t="n"/>
      <c r="P144" s="236" t="n"/>
    </row>
    <row r="145">
      <c r="A145" s="236" t="inlineStr">
        <is>
          <t>O Feminino In-familiar</t>
        </is>
      </c>
      <c r="B145" s="79" t="n">
        <v>1</v>
      </c>
      <c r="C145" s="68" t="n">
        <v>55</v>
      </c>
      <c r="D145" s="68">
        <f>C145*B145</f>
        <v/>
      </c>
      <c r="E145" s="117" t="n"/>
      <c r="F145" s="87">
        <f>E145+D145+D146</f>
        <v/>
      </c>
      <c r="G145" s="69">
        <f>F145</f>
        <v/>
      </c>
      <c r="H145" s="70" t="n">
        <v>45056</v>
      </c>
      <c r="I145" s="79" t="inlineStr">
        <is>
          <t>PIX</t>
        </is>
      </c>
      <c r="J145" s="165" t="n"/>
      <c r="K145" s="165" t="n"/>
      <c r="L145" s="165" t="n"/>
      <c r="M145" s="236" t="n"/>
      <c r="N145" s="236" t="n"/>
      <c r="O145" s="236" t="n"/>
      <c r="P145" s="236" t="n"/>
    </row>
    <row r="146">
      <c r="A146" s="236" t="inlineStr">
        <is>
          <t>Desarraigados</t>
        </is>
      </c>
      <c r="B146" s="79" t="n">
        <v>1</v>
      </c>
      <c r="C146" s="68" t="n">
        <v>160</v>
      </c>
      <c r="D146" s="68">
        <f>C146*B146</f>
        <v/>
      </c>
      <c r="E146" s="340" t="n"/>
      <c r="F146" s="340" t="n"/>
      <c r="G146" s="340" t="n"/>
      <c r="H146" s="340" t="n"/>
      <c r="I146" s="340" t="n"/>
      <c r="J146" s="340" t="n"/>
      <c r="K146" s="340" t="n"/>
      <c r="L146" s="340" t="n"/>
      <c r="M146" s="236" t="n"/>
      <c r="N146" s="236" t="n"/>
      <c r="O146" s="236" t="n"/>
      <c r="P146" s="236" t="n"/>
    </row>
    <row r="147">
      <c r="A147" s="236" t="inlineStr">
        <is>
          <t>Agente 20</t>
        </is>
      </c>
      <c r="B147" s="79" t="n">
        <v>1</v>
      </c>
      <c r="C147" s="68" t="n">
        <v>60</v>
      </c>
      <c r="D147" s="68">
        <f>C147*B147</f>
        <v/>
      </c>
      <c r="E147" s="90" t="n"/>
      <c r="F147" s="87">
        <f>E147+D147</f>
        <v/>
      </c>
      <c r="G147" s="69">
        <f>F147</f>
        <v/>
      </c>
      <c r="H147" s="120" t="n">
        <v>45056</v>
      </c>
      <c r="I147" s="93" t="inlineStr">
        <is>
          <t>PIX</t>
        </is>
      </c>
      <c r="J147" s="94" t="n"/>
      <c r="K147" s="155" t="n"/>
      <c r="L147" s="94" t="n"/>
      <c r="M147" s="236" t="n"/>
      <c r="N147" s="236" t="n"/>
      <c r="O147" s="236" t="n"/>
      <c r="P147" s="236" t="n"/>
    </row>
    <row r="148">
      <c r="A148" s="236" t="inlineStr">
        <is>
          <t>O campo uniano</t>
        </is>
      </c>
      <c r="B148" s="79" t="n">
        <v>1</v>
      </c>
      <c r="C148" s="68" t="n">
        <v>120</v>
      </c>
      <c r="D148" s="68">
        <f>C148*B148</f>
        <v/>
      </c>
      <c r="E148" s="76" t="n">
        <v>15</v>
      </c>
      <c r="F148" s="87">
        <f>E148+D148</f>
        <v/>
      </c>
      <c r="G148" s="69">
        <f>F148</f>
        <v/>
      </c>
      <c r="H148" s="143" t="n">
        <v>45056</v>
      </c>
      <c r="I148" s="79" t="inlineStr">
        <is>
          <t>PIX</t>
        </is>
      </c>
      <c r="J148" s="236" t="n"/>
      <c r="K148" s="236" t="n"/>
      <c r="L148" s="236" t="n"/>
      <c r="M148" s="236" t="n"/>
      <c r="N148" s="236" t="n"/>
      <c r="O148" s="236" t="n"/>
      <c r="P148" s="236" t="n"/>
    </row>
    <row r="149">
      <c r="A149" s="236" t="inlineStr">
        <is>
          <t>La Ciudad Analítica N.1</t>
        </is>
      </c>
      <c r="B149" s="79" t="n">
        <v>1</v>
      </c>
      <c r="C149" s="68" t="n">
        <v>70</v>
      </c>
      <c r="D149" s="68">
        <f>C149*B149</f>
        <v/>
      </c>
      <c r="E149" s="117" t="n"/>
      <c r="F149" s="87">
        <f>E149+D149+D150+D151+D152</f>
        <v/>
      </c>
      <c r="G149" s="69">
        <f>F149</f>
        <v/>
      </c>
      <c r="H149" s="70" t="n">
        <v>45056</v>
      </c>
      <c r="I149" s="79" t="inlineStr">
        <is>
          <t>PIX</t>
        </is>
      </c>
      <c r="J149" s="165" t="n"/>
      <c r="K149" s="165" t="n"/>
      <c r="L149" s="236" t="n"/>
      <c r="M149" s="236" t="n"/>
      <c r="N149" s="236" t="n"/>
      <c r="O149" s="236" t="n"/>
      <c r="P149" s="236" t="n"/>
    </row>
    <row r="150">
      <c r="A150" s="236" t="inlineStr">
        <is>
          <t>La Ciudad Analítica N.2</t>
        </is>
      </c>
      <c r="B150" s="79" t="n">
        <v>4</v>
      </c>
      <c r="C150" s="68" t="n">
        <v>70</v>
      </c>
      <c r="D150" s="68">
        <f>C150*B150</f>
        <v/>
      </c>
      <c r="E150" s="343" t="n"/>
      <c r="F150" s="343" t="n"/>
      <c r="G150" s="343" t="n"/>
      <c r="H150" s="343" t="n"/>
      <c r="I150" s="343" t="n"/>
      <c r="J150" s="343" t="n"/>
      <c r="K150" s="343" t="n"/>
      <c r="L150" s="236" t="n"/>
      <c r="M150" s="236" t="n"/>
      <c r="N150" s="236" t="n"/>
      <c r="O150" s="236" t="n"/>
      <c r="P150" s="236" t="n"/>
    </row>
    <row r="151">
      <c r="A151" s="236" t="inlineStr">
        <is>
          <t>La Ciudad Analítica N.3</t>
        </is>
      </c>
      <c r="B151" s="79" t="n">
        <v>1</v>
      </c>
      <c r="C151" s="68" t="n">
        <v>70</v>
      </c>
      <c r="D151" s="68">
        <f>C151*B151</f>
        <v/>
      </c>
      <c r="E151" s="343" t="n"/>
      <c r="F151" s="343" t="n"/>
      <c r="G151" s="343" t="n"/>
      <c r="H151" s="343" t="n"/>
      <c r="I151" s="343" t="n"/>
      <c r="J151" s="343" t="n"/>
      <c r="K151" s="343" t="n"/>
      <c r="L151" s="236" t="n"/>
      <c r="M151" s="236" t="n"/>
      <c r="N151" s="236" t="n"/>
      <c r="O151" s="236" t="n"/>
      <c r="P151" s="236" t="n"/>
    </row>
    <row r="152">
      <c r="A152" s="236" t="inlineStr">
        <is>
          <t>La Ciudad Analítica N.4</t>
        </is>
      </c>
      <c r="B152" s="79" t="n">
        <v>1</v>
      </c>
      <c r="C152" s="68" t="n">
        <v>70</v>
      </c>
      <c r="D152" s="68">
        <f>C152*B152</f>
        <v/>
      </c>
      <c r="E152" s="340" t="n"/>
      <c r="F152" s="340" t="n"/>
      <c r="G152" s="340" t="n"/>
      <c r="H152" s="340" t="n"/>
      <c r="I152" s="340" t="n"/>
      <c r="J152" s="340" t="n"/>
      <c r="K152" s="340" t="n"/>
      <c r="L152" s="236" t="n"/>
      <c r="M152" s="236" t="n"/>
      <c r="N152" s="236" t="n"/>
      <c r="O152" s="236" t="n"/>
      <c r="P152" s="236" t="n"/>
    </row>
    <row r="153">
      <c r="A153" s="236" t="inlineStr">
        <is>
          <t>O campo uniano</t>
        </is>
      </c>
      <c r="B153" s="79" t="n">
        <v>1</v>
      </c>
      <c r="C153" s="68" t="n">
        <v>120</v>
      </c>
      <c r="D153" s="68">
        <f>C153*B153</f>
        <v/>
      </c>
      <c r="E153" s="76" t="n">
        <v>17</v>
      </c>
      <c r="F153" s="87">
        <f>E153+D153</f>
        <v/>
      </c>
      <c r="G153" s="69">
        <f>F153</f>
        <v/>
      </c>
      <c r="H153" s="143" t="n">
        <v>45056</v>
      </c>
      <c r="I153" s="79" t="inlineStr">
        <is>
          <t>PIX</t>
        </is>
      </c>
      <c r="J153" s="236" t="n"/>
      <c r="K153" s="236" t="n"/>
      <c r="L153" s="236" t="n"/>
      <c r="M153" s="236" t="n"/>
      <c r="N153" s="236" t="n"/>
      <c r="O153" s="236" t="n"/>
      <c r="P153" s="236" t="n"/>
    </row>
    <row r="154">
      <c r="A154" s="236" t="inlineStr">
        <is>
          <t>Agente 20</t>
        </is>
      </c>
      <c r="B154" s="165" t="n">
        <v>1</v>
      </c>
      <c r="C154" s="68" t="n">
        <v>70</v>
      </c>
      <c r="D154" s="68">
        <f>C154*B154</f>
        <v/>
      </c>
      <c r="E154" s="76" t="n"/>
      <c r="F154" s="87">
        <f>E154+D154</f>
        <v/>
      </c>
      <c r="G154" s="69">
        <f>F154</f>
        <v/>
      </c>
      <c r="H154" s="143" t="n">
        <v>45056</v>
      </c>
      <c r="I154" s="79" t="inlineStr">
        <is>
          <t>PIX</t>
        </is>
      </c>
      <c r="J154" s="236" t="n"/>
      <c r="K154" s="236" t="n"/>
      <c r="L154" s="236" t="n"/>
      <c r="M154" s="236" t="n"/>
      <c r="N154" s="236" t="n"/>
      <c r="O154" s="236" t="n"/>
      <c r="P154" s="236" t="n"/>
    </row>
    <row r="155">
      <c r="A155" s="236" t="inlineStr">
        <is>
          <t>Taxa Envio</t>
        </is>
      </c>
      <c r="B155" s="165" t="n">
        <v>1</v>
      </c>
      <c r="C155" s="68" t="n"/>
      <c r="D155" s="68" t="n"/>
      <c r="E155" s="76" t="n">
        <v>15.2</v>
      </c>
      <c r="F155" s="87">
        <f>E155+D155</f>
        <v/>
      </c>
      <c r="G155" s="69">
        <f>F155</f>
        <v/>
      </c>
      <c r="H155" s="143" t="n">
        <v>45056</v>
      </c>
      <c r="I155" s="79" t="inlineStr">
        <is>
          <t>PIX</t>
        </is>
      </c>
      <c r="J155" s="236" t="n"/>
      <c r="K155" s="236" t="n"/>
      <c r="L155" s="236" t="n"/>
      <c r="M155" s="236" t="n"/>
      <c r="N155" s="236" t="n"/>
      <c r="O155" s="236" t="n"/>
      <c r="P155" s="236" t="n"/>
    </row>
    <row r="156">
      <c r="A156" s="236" t="inlineStr">
        <is>
          <t>Memória, Linguagem e Mente</t>
        </is>
      </c>
      <c r="B156" s="165" t="n">
        <v>1</v>
      </c>
      <c r="C156" s="68" t="n">
        <v>75</v>
      </c>
      <c r="D156" s="68">
        <f>C156*B156</f>
        <v/>
      </c>
      <c r="E156" s="76" t="n"/>
      <c r="F156" s="87">
        <f>E156+D156</f>
        <v/>
      </c>
      <c r="G156" s="69">
        <f>F156</f>
        <v/>
      </c>
      <c r="H156" s="143" t="n">
        <v>45057</v>
      </c>
      <c r="I156" s="79" t="inlineStr">
        <is>
          <t>PIX</t>
        </is>
      </c>
      <c r="J156" s="236" t="n"/>
      <c r="K156" s="236" t="n"/>
      <c r="L156" s="236" t="n"/>
      <c r="M156" s="236" t="n"/>
      <c r="N156" s="236" t="n"/>
      <c r="O156" s="236" t="n"/>
      <c r="P156" s="236" t="n"/>
    </row>
    <row r="157">
      <c r="A157" s="236" t="inlineStr">
        <is>
          <t>Memória, Linguagem e Mente</t>
        </is>
      </c>
      <c r="B157" s="165" t="n">
        <v>1</v>
      </c>
      <c r="C157" s="68" t="n">
        <v>75</v>
      </c>
      <c r="D157" s="68">
        <f>C157*B157</f>
        <v/>
      </c>
      <c r="E157" s="76" t="n"/>
      <c r="F157" s="87">
        <f>E157+D157</f>
        <v/>
      </c>
      <c r="G157" s="69">
        <f>F157</f>
        <v/>
      </c>
      <c r="H157" s="143" t="n">
        <v>45057</v>
      </c>
      <c r="I157" s="79" t="inlineStr">
        <is>
          <t>PIX</t>
        </is>
      </c>
      <c r="J157" s="236" t="n"/>
      <c r="K157" s="236" t="n"/>
      <c r="L157" s="236" t="n"/>
      <c r="M157" s="236" t="n"/>
      <c r="N157" s="236" t="n"/>
      <c r="O157" s="236" t="n"/>
      <c r="P157" s="236" t="n"/>
    </row>
    <row r="158">
      <c r="A158" s="236" t="inlineStr">
        <is>
          <t>O Feminino In-familiar</t>
        </is>
      </c>
      <c r="B158" s="165" t="n">
        <v>1</v>
      </c>
      <c r="C158" s="68" t="n">
        <v>55</v>
      </c>
      <c r="D158" s="68">
        <f>C158*B158</f>
        <v/>
      </c>
      <c r="E158" s="117" t="n"/>
      <c r="F158" s="87">
        <f>E158+D158+D159+D160</f>
        <v/>
      </c>
      <c r="G158" s="69">
        <f>F158</f>
        <v/>
      </c>
      <c r="H158" s="70" t="n">
        <v>45057</v>
      </c>
      <c r="I158" s="79" t="inlineStr">
        <is>
          <t>PIX</t>
        </is>
      </c>
      <c r="J158" s="165" t="n"/>
      <c r="K158" s="165" t="n"/>
      <c r="L158" s="236" t="n"/>
      <c r="M158" s="236" t="n"/>
      <c r="N158" s="236" t="n"/>
      <c r="O158" s="236" t="n"/>
      <c r="P158" s="236" t="n"/>
    </row>
    <row r="159">
      <c r="A159" s="236" t="inlineStr">
        <is>
          <t>A neurose obsessiva no feminino</t>
        </is>
      </c>
      <c r="B159" s="165" t="n">
        <v>1</v>
      </c>
      <c r="C159" s="68" t="n">
        <v>40</v>
      </c>
      <c r="D159" s="68">
        <f>C159*B159</f>
        <v/>
      </c>
      <c r="E159" s="340" t="n"/>
      <c r="F159" s="343" t="n"/>
      <c r="G159" s="343" t="n"/>
      <c r="H159" s="343" t="n"/>
      <c r="I159" s="343" t="n"/>
      <c r="J159" s="343" t="n"/>
      <c r="K159" s="343" t="n"/>
      <c r="L159" s="236" t="n"/>
      <c r="M159" s="236" t="n"/>
      <c r="N159" s="236" t="n"/>
      <c r="O159" s="236" t="n"/>
      <c r="P159" s="236" t="n"/>
    </row>
    <row r="160">
      <c r="A160" s="236" t="inlineStr">
        <is>
          <t>Agente 20</t>
        </is>
      </c>
      <c r="B160" s="165" t="n">
        <v>1</v>
      </c>
      <c r="C160" s="68" t="n">
        <v>70</v>
      </c>
      <c r="D160" s="68">
        <f>C160*B160</f>
        <v/>
      </c>
      <c r="E160" s="76" t="n"/>
      <c r="F160" s="340" t="n"/>
      <c r="G160" s="340" t="n"/>
      <c r="H160" s="340" t="n"/>
      <c r="I160" s="340" t="n"/>
      <c r="J160" s="340" t="n"/>
      <c r="K160" s="340" t="n"/>
      <c r="L160" s="236" t="n"/>
      <c r="M160" s="236" t="n"/>
      <c r="N160" s="236" t="n"/>
      <c r="O160" s="236" t="n"/>
      <c r="P160" s="236" t="n"/>
    </row>
    <row r="161">
      <c r="A161" s="236" t="inlineStr">
        <is>
          <t>A Supervisão (controle) Na Formação Do Psicanalista</t>
        </is>
      </c>
      <c r="B161" s="165" t="n">
        <v>1</v>
      </c>
      <c r="C161" s="68" t="n">
        <v>70</v>
      </c>
      <c r="D161" s="68">
        <f>C161*B161</f>
        <v/>
      </c>
      <c r="E161" s="117" t="n"/>
      <c r="F161" s="87">
        <f>D161+D162+D163</f>
        <v/>
      </c>
      <c r="G161" s="69">
        <f>F161</f>
        <v/>
      </c>
      <c r="H161" s="70" t="n">
        <v>45057</v>
      </c>
      <c r="I161" s="79" t="inlineStr">
        <is>
          <t>PIX</t>
        </is>
      </c>
      <c r="J161" s="165" t="n"/>
      <c r="K161" s="165" t="n"/>
      <c r="L161" s="236" t="n"/>
      <c r="M161" s="236" t="n"/>
      <c r="N161" s="236" t="n"/>
      <c r="O161" s="236" t="n"/>
      <c r="P161" s="236" t="n"/>
    </row>
    <row r="162">
      <c r="A162" s="236" t="inlineStr">
        <is>
          <t>Fundamentos da prática Lacaniana</t>
        </is>
      </c>
      <c r="B162" s="165" t="n">
        <v>1</v>
      </c>
      <c r="C162" s="68" t="n">
        <v>50</v>
      </c>
      <c r="D162" s="68">
        <f>C162*B162</f>
        <v/>
      </c>
      <c r="E162" s="343" t="n"/>
      <c r="F162" s="343" t="n"/>
      <c r="G162" s="343" t="n"/>
      <c r="H162" s="343" t="n"/>
      <c r="I162" s="343" t="n"/>
      <c r="J162" s="343" t="n"/>
      <c r="K162" s="343" t="n"/>
      <c r="L162" s="236" t="n"/>
      <c r="M162" s="236" t="n"/>
      <c r="N162" s="236" t="n"/>
      <c r="O162" s="236" t="n"/>
      <c r="P162" s="236" t="n"/>
    </row>
    <row r="163">
      <c r="A163" s="236" t="inlineStr">
        <is>
          <t>Phillip Dick con Jacques Lacan - Clínica psicoanalítica como ciencia-ficción</t>
        </is>
      </c>
      <c r="B163" s="165" t="n">
        <v>1</v>
      </c>
      <c r="C163" s="68" t="n">
        <v>65</v>
      </c>
      <c r="D163" s="68">
        <f>C163*B163</f>
        <v/>
      </c>
      <c r="E163" s="340" t="n"/>
      <c r="F163" s="340" t="n"/>
      <c r="G163" s="340" t="n"/>
      <c r="H163" s="340" t="n"/>
      <c r="I163" s="340" t="n"/>
      <c r="J163" s="340" t="n"/>
      <c r="K163" s="340" t="n"/>
      <c r="L163" s="236" t="n"/>
      <c r="M163" s="236" t="n"/>
      <c r="N163" s="236" t="n"/>
      <c r="O163" s="236" t="n"/>
      <c r="P163" s="236" t="n"/>
    </row>
    <row r="164">
      <c r="A164" s="236" t="inlineStr">
        <is>
          <t>Divergencia de valor</t>
        </is>
      </c>
      <c r="B164" s="165" t="n">
        <v>1</v>
      </c>
      <c r="C164" s="68" t="n">
        <v>8</v>
      </c>
      <c r="D164" s="68">
        <f>C164*B164</f>
        <v/>
      </c>
      <c r="E164" s="76" t="n"/>
      <c r="F164" s="87">
        <f>E164+D164</f>
        <v/>
      </c>
      <c r="G164" s="69">
        <f>F164</f>
        <v/>
      </c>
      <c r="H164" s="143" t="n">
        <v>45058</v>
      </c>
      <c r="I164" s="79" t="inlineStr">
        <is>
          <t>PIX</t>
        </is>
      </c>
      <c r="J164" s="236" t="n"/>
      <c r="K164" s="236" t="n"/>
      <c r="L164" s="236" t="n"/>
      <c r="M164" s="236" t="n"/>
      <c r="N164" s="236" t="n"/>
      <c r="O164" s="236" t="n"/>
      <c r="P164" s="236" t="n"/>
    </row>
    <row r="165">
      <c r="A165" s="236" t="inlineStr">
        <is>
          <t>Agente 20</t>
        </is>
      </c>
      <c r="B165" s="165" t="n">
        <v>1</v>
      </c>
      <c r="C165" s="68" t="n">
        <v>70</v>
      </c>
      <c r="D165" s="68">
        <f>C165*B165</f>
        <v/>
      </c>
      <c r="E165" s="76" t="n"/>
      <c r="F165" s="87">
        <f>E165+D165</f>
        <v/>
      </c>
      <c r="G165" s="69">
        <f>F165</f>
        <v/>
      </c>
      <c r="H165" s="143" t="n">
        <v>45058</v>
      </c>
      <c r="I165" s="79" t="inlineStr">
        <is>
          <t>PIX</t>
        </is>
      </c>
      <c r="J165" s="236" t="n"/>
      <c r="K165" s="236" t="n"/>
      <c r="L165" s="236" t="n"/>
      <c r="M165" s="236" t="n"/>
      <c r="N165" s="236" t="n"/>
      <c r="O165" s="236" t="n"/>
      <c r="P165" s="236" t="n"/>
    </row>
    <row r="166">
      <c r="A166" s="236" t="inlineStr">
        <is>
          <t>Agente 20</t>
        </is>
      </c>
      <c r="B166" s="165" t="n">
        <v>1</v>
      </c>
      <c r="C166" s="68" t="n">
        <v>70</v>
      </c>
      <c r="D166" s="68">
        <f>C166*B166</f>
        <v/>
      </c>
      <c r="E166" s="117" t="n"/>
      <c r="F166" s="87">
        <f>E166+D166+D167</f>
        <v/>
      </c>
      <c r="G166" s="69">
        <f>F166</f>
        <v/>
      </c>
      <c r="H166" s="70" t="n">
        <v>45058</v>
      </c>
      <c r="I166" s="79" t="inlineStr">
        <is>
          <t>PIX</t>
        </is>
      </c>
      <c r="J166" s="165" t="n"/>
      <c r="K166" s="165" t="n"/>
      <c r="L166" s="236" t="n"/>
      <c r="M166" s="236" t="n"/>
      <c r="N166" s="236" t="n"/>
      <c r="O166" s="236" t="n"/>
      <c r="P166" s="236" t="n"/>
    </row>
    <row r="167">
      <c r="A167" s="236" t="inlineStr">
        <is>
          <t>O campo uniano</t>
        </is>
      </c>
      <c r="B167" s="165" t="n">
        <v>1</v>
      </c>
      <c r="C167" s="68" t="n">
        <v>120</v>
      </c>
      <c r="D167" s="68">
        <f>C167*B167</f>
        <v/>
      </c>
      <c r="E167" s="340" t="n"/>
      <c r="F167" s="340" t="n"/>
      <c r="G167" s="340" t="n"/>
      <c r="H167" s="340" t="n"/>
      <c r="I167" s="340" t="n"/>
      <c r="J167" s="340" t="n"/>
      <c r="K167" s="340" t="n"/>
      <c r="L167" s="236" t="n"/>
      <c r="M167" s="236" t="n"/>
      <c r="N167" s="236" t="n"/>
      <c r="O167" s="236" t="n"/>
      <c r="P167" s="236" t="n"/>
    </row>
    <row r="168">
      <c r="A168" s="236" t="inlineStr">
        <is>
          <t>Agente 20</t>
        </is>
      </c>
      <c r="B168" s="165" t="n">
        <v>1</v>
      </c>
      <c r="C168" s="68" t="n">
        <v>70</v>
      </c>
      <c r="D168" s="68">
        <f>C168*B168</f>
        <v/>
      </c>
      <c r="E168" s="117" t="n"/>
      <c r="F168" s="87">
        <f>E168+D168+D169+D170</f>
        <v/>
      </c>
      <c r="G168" s="69">
        <f>F168</f>
        <v/>
      </c>
      <c r="H168" s="70" t="n">
        <v>45058</v>
      </c>
      <c r="I168" s="79" t="inlineStr">
        <is>
          <t>PIX</t>
        </is>
      </c>
      <c r="J168" s="165" t="n"/>
      <c r="K168" s="165" t="n"/>
      <c r="L168" s="236" t="n"/>
      <c r="M168" s="236" t="n"/>
      <c r="N168" s="236" t="n"/>
      <c r="O168" s="236" t="n"/>
      <c r="P168" s="236" t="n"/>
    </row>
    <row r="169">
      <c r="A169" s="236" t="inlineStr">
        <is>
          <t>Fundamento da Prática Lacaniana</t>
        </is>
      </c>
      <c r="B169" s="165" t="n">
        <v>1</v>
      </c>
      <c r="C169" s="68" t="n">
        <v>50</v>
      </c>
      <c r="D169" s="68">
        <f>C169*B169</f>
        <v/>
      </c>
      <c r="E169" s="343" t="n"/>
      <c r="F169" s="343" t="n"/>
      <c r="G169" s="343" t="n"/>
      <c r="H169" s="343" t="n"/>
      <c r="I169" s="343" t="n"/>
      <c r="J169" s="343" t="n"/>
      <c r="K169" s="343" t="n"/>
      <c r="L169" s="236" t="n"/>
      <c r="M169" s="236" t="n"/>
      <c r="N169" s="236" t="n"/>
      <c r="O169" s="236" t="n"/>
      <c r="P169" s="236" t="n"/>
    </row>
    <row r="170">
      <c r="A170" s="236" t="inlineStr">
        <is>
          <t>Lacan e a Solução Elegante Na Psicose</t>
        </is>
      </c>
      <c r="B170" s="165" t="n">
        <v>2</v>
      </c>
      <c r="C170" s="68" t="n">
        <v>65</v>
      </c>
      <c r="D170" s="68">
        <f>C170*B170</f>
        <v/>
      </c>
      <c r="E170" s="340" t="n"/>
      <c r="F170" s="340" t="n"/>
      <c r="G170" s="340" t="n"/>
      <c r="H170" s="340" t="n"/>
      <c r="I170" s="340" t="n"/>
      <c r="J170" s="340" t="n"/>
      <c r="K170" s="340" t="n"/>
      <c r="L170" s="236" t="n"/>
      <c r="M170" s="236" t="n"/>
      <c r="N170" s="236" t="n"/>
      <c r="O170" s="236" t="n"/>
      <c r="P170" s="236" t="n"/>
    </row>
    <row r="171">
      <c r="A171" s="236" t="inlineStr">
        <is>
          <t>Agente 20</t>
        </is>
      </c>
      <c r="B171" s="165" t="n">
        <v>1</v>
      </c>
      <c r="C171" s="68" t="n">
        <v>60</v>
      </c>
      <c r="D171" s="68">
        <f>C171*B171</f>
        <v/>
      </c>
      <c r="E171" s="76" t="n"/>
      <c r="F171" s="87">
        <f>E171+D171</f>
        <v/>
      </c>
      <c r="G171" s="69">
        <f>F171</f>
        <v/>
      </c>
      <c r="H171" s="143" t="n">
        <v>45061</v>
      </c>
      <c r="I171" s="79" t="inlineStr">
        <is>
          <t>PIX</t>
        </is>
      </c>
      <c r="J171" s="236" t="n"/>
      <c r="K171" s="129" t="n"/>
      <c r="L171" s="236" t="n"/>
      <c r="M171" s="236" t="n"/>
      <c r="N171" s="236" t="n"/>
      <c r="O171" s="236" t="n"/>
      <c r="P171" s="236" t="n"/>
    </row>
    <row r="172">
      <c r="A172" s="236" t="inlineStr">
        <is>
          <t>Agente 20</t>
        </is>
      </c>
      <c r="B172" s="165" t="n">
        <v>1</v>
      </c>
      <c r="C172" s="68" t="n">
        <v>70</v>
      </c>
      <c r="D172" s="68">
        <f>C172*B172</f>
        <v/>
      </c>
      <c r="E172" s="76" t="n"/>
      <c r="F172" s="87">
        <f>E172+D172</f>
        <v/>
      </c>
      <c r="G172" s="69">
        <f>F172</f>
        <v/>
      </c>
      <c r="H172" s="143" t="n">
        <v>45061</v>
      </c>
      <c r="I172" s="79" t="inlineStr">
        <is>
          <t>PIX</t>
        </is>
      </c>
      <c r="K172" s="129" t="n"/>
      <c r="L172" s="236" t="n"/>
      <c r="M172" s="236" t="n"/>
      <c r="N172" s="236" t="n"/>
      <c r="O172" s="236" t="n"/>
      <c r="P172" s="236" t="n"/>
    </row>
    <row r="173">
      <c r="A173" s="236" t="inlineStr">
        <is>
          <t>Agente 18</t>
        </is>
      </c>
      <c r="B173" s="165" t="n">
        <v>5</v>
      </c>
      <c r="C173" s="68" t="n">
        <v>60</v>
      </c>
      <c r="D173" s="68">
        <f>C173*B173</f>
        <v/>
      </c>
      <c r="E173" s="76" t="n"/>
      <c r="F173" s="87">
        <f>E173+D173</f>
        <v/>
      </c>
      <c r="G173" s="69">
        <f>F173</f>
        <v/>
      </c>
      <c r="H173" s="143" t="n">
        <v>45061</v>
      </c>
      <c r="I173" s="79" t="inlineStr">
        <is>
          <t>PIX</t>
        </is>
      </c>
      <c r="J173" s="236" t="n"/>
      <c r="K173" s="236" t="n"/>
      <c r="L173" s="236" t="n"/>
      <c r="M173" s="236" t="n"/>
      <c r="N173" s="236" t="n"/>
      <c r="O173" s="236" t="n"/>
      <c r="P173" s="236" t="n"/>
    </row>
    <row r="174">
      <c r="A174" s="236" t="inlineStr">
        <is>
          <t>O campo uniano</t>
        </is>
      </c>
      <c r="B174" s="165" t="n">
        <v>1</v>
      </c>
      <c r="C174" s="68" t="n">
        <v>120</v>
      </c>
      <c r="D174" s="68">
        <f>C174*B174</f>
        <v/>
      </c>
      <c r="E174" s="117" t="n"/>
      <c r="F174" s="87">
        <f>D174+D175+E174</f>
        <v/>
      </c>
      <c r="G174" s="69">
        <f>F174</f>
        <v/>
      </c>
      <c r="H174" s="70" t="n">
        <v>45062</v>
      </c>
      <c r="I174" s="79" t="inlineStr">
        <is>
          <t>PIX</t>
        </is>
      </c>
      <c r="J174" s="165" t="n"/>
      <c r="K174" s="165" t="n"/>
      <c r="L174" s="236" t="n"/>
      <c r="M174" s="236" t="n"/>
      <c r="N174" s="236" t="n"/>
      <c r="O174" s="236" t="n"/>
      <c r="P174" s="236" t="n"/>
    </row>
    <row r="175">
      <c r="A175" s="236" t="inlineStr">
        <is>
          <t>Agente 20</t>
        </is>
      </c>
      <c r="B175" s="165" t="n">
        <v>1</v>
      </c>
      <c r="C175" s="68" t="n">
        <v>70</v>
      </c>
      <c r="D175" s="68">
        <f>C175*B175</f>
        <v/>
      </c>
      <c r="E175" s="340" t="n"/>
      <c r="F175" s="340" t="n"/>
      <c r="G175" s="340" t="n"/>
      <c r="H175" s="340" t="n"/>
      <c r="I175" s="340" t="n"/>
      <c r="J175" s="340" t="n"/>
      <c r="K175" s="340" t="n"/>
      <c r="L175" s="236" t="n"/>
      <c r="M175" s="236" t="n"/>
      <c r="N175" s="236" t="n"/>
      <c r="O175" s="236" t="n"/>
      <c r="P175" s="236" t="n"/>
    </row>
    <row r="176">
      <c r="A176" s="236" t="inlineStr">
        <is>
          <t>Agente 20</t>
        </is>
      </c>
      <c r="B176" s="165" t="n">
        <v>1</v>
      </c>
      <c r="C176" s="68" t="n">
        <v>70</v>
      </c>
      <c r="D176" s="68">
        <f>C176*B176</f>
        <v/>
      </c>
      <c r="E176" s="117" t="n">
        <v>35</v>
      </c>
      <c r="F176" s="87">
        <f>D176+D177+D178+D179+E176</f>
        <v/>
      </c>
      <c r="G176" s="69">
        <f>F176</f>
        <v/>
      </c>
      <c r="H176" s="70" t="n">
        <v>45063</v>
      </c>
      <c r="I176" s="79" t="inlineStr">
        <is>
          <t>PIX</t>
        </is>
      </c>
      <c r="J176" s="165" t="n"/>
      <c r="K176" s="79" t="n"/>
      <c r="L176" s="236" t="n"/>
      <c r="M176" s="236" t="n"/>
      <c r="N176" s="236" t="n"/>
      <c r="O176" s="236" t="n"/>
      <c r="P176" s="236" t="n"/>
    </row>
    <row r="177">
      <c r="A177" s="236" t="inlineStr">
        <is>
          <t>O campo uniano</t>
        </is>
      </c>
      <c r="B177" s="165" t="n">
        <v>1</v>
      </c>
      <c r="C177" s="68" t="n">
        <v>120</v>
      </c>
      <c r="D177" s="68">
        <f>C177*B177</f>
        <v/>
      </c>
      <c r="E177" s="343" t="n"/>
      <c r="F177" s="343" t="n"/>
      <c r="G177" s="343" t="n"/>
      <c r="H177" s="343" t="n"/>
      <c r="I177" s="343" t="n"/>
      <c r="J177" s="343" t="n"/>
      <c r="K177" s="343" t="n"/>
      <c r="L177" s="236" t="n"/>
      <c r="M177" s="236" t="n"/>
      <c r="N177" s="236" t="n"/>
      <c r="O177" s="236" t="n"/>
      <c r="P177" s="236" t="n"/>
    </row>
    <row r="178">
      <c r="A178" s="236" t="inlineStr">
        <is>
          <t>Correio 70</t>
        </is>
      </c>
      <c r="B178" s="165" t="n">
        <v>1</v>
      </c>
      <c r="C178" s="68" t="n">
        <v>20</v>
      </c>
      <c r="D178" s="68">
        <f>C178*B178</f>
        <v/>
      </c>
      <c r="E178" s="343" t="n"/>
      <c r="F178" s="343" t="n"/>
      <c r="G178" s="343" t="n"/>
      <c r="H178" s="343" t="n"/>
      <c r="I178" s="343" t="n"/>
      <c r="J178" s="343" t="n"/>
      <c r="K178" s="343" t="n"/>
      <c r="L178" s="236" t="n"/>
      <c r="M178" s="236" t="n"/>
      <c r="N178" s="236" t="n"/>
      <c r="O178" s="236" t="n"/>
      <c r="P178" s="236" t="n"/>
    </row>
    <row r="179">
      <c r="A179" s="236" t="inlineStr">
        <is>
          <t>Correio 66</t>
        </is>
      </c>
      <c r="B179" s="165" t="n">
        <v>1</v>
      </c>
      <c r="C179" s="68" t="n">
        <v>20</v>
      </c>
      <c r="D179" s="68">
        <f>C179*B179</f>
        <v/>
      </c>
      <c r="E179" s="340" t="n"/>
      <c r="F179" s="340" t="n"/>
      <c r="G179" s="340" t="n"/>
      <c r="H179" s="340" t="n"/>
      <c r="I179" s="340" t="n"/>
      <c r="J179" s="340" t="n"/>
      <c r="K179" s="340" t="n"/>
      <c r="L179" s="236" t="n"/>
      <c r="M179" s="236" t="n"/>
      <c r="N179" s="236" t="n"/>
      <c r="O179" s="236" t="n"/>
      <c r="P179" s="236" t="n"/>
    </row>
    <row r="180">
      <c r="A180" s="236" t="inlineStr">
        <is>
          <t>O campo uniano</t>
        </is>
      </c>
      <c r="B180" s="165" t="n">
        <v>3</v>
      </c>
      <c r="C180" s="68" t="n">
        <v>120</v>
      </c>
      <c r="D180" s="68">
        <f>C180*B180</f>
        <v/>
      </c>
      <c r="E180" s="76" t="n">
        <v>30</v>
      </c>
      <c r="F180" s="87">
        <f>E180+D180</f>
        <v/>
      </c>
      <c r="G180" s="69">
        <f>F180</f>
        <v/>
      </c>
      <c r="H180" s="143" t="n">
        <v>45063</v>
      </c>
      <c r="I180" s="79" t="inlineStr">
        <is>
          <t>PIX</t>
        </is>
      </c>
      <c r="J180" s="236" t="n"/>
      <c r="K180" s="165" t="n"/>
      <c r="L180" s="236" t="n"/>
      <c r="M180" s="236" t="n"/>
      <c r="N180" s="236" t="n"/>
      <c r="O180" s="236" t="n"/>
      <c r="P180" s="236" t="n"/>
    </row>
    <row r="181">
      <c r="A181" s="236" t="inlineStr">
        <is>
          <t>Agente 20</t>
        </is>
      </c>
      <c r="B181" s="165" t="n">
        <v>1</v>
      </c>
      <c r="C181" s="68" t="n">
        <v>70</v>
      </c>
      <c r="D181" s="68">
        <f>C181*B181</f>
        <v/>
      </c>
      <c r="E181" s="76" t="n">
        <v>17</v>
      </c>
      <c r="F181" s="87">
        <f>E181+D181</f>
        <v/>
      </c>
      <c r="G181" s="69">
        <f>F181</f>
        <v/>
      </c>
      <c r="H181" s="143" t="n">
        <v>45094</v>
      </c>
      <c r="I181" s="79" t="inlineStr">
        <is>
          <t>PIX</t>
        </is>
      </c>
      <c r="J181" s="236" t="n"/>
      <c r="K181" s="165" t="n"/>
      <c r="L181" s="236" t="n"/>
      <c r="M181" s="236" t="n"/>
      <c r="N181" s="236" t="n"/>
      <c r="O181" s="236" t="n"/>
      <c r="P181" s="236" t="n"/>
    </row>
    <row r="182">
      <c r="A182" s="236" t="inlineStr">
        <is>
          <t>Agente 20</t>
        </is>
      </c>
      <c r="B182" s="165" t="n">
        <v>1</v>
      </c>
      <c r="C182" s="68" t="n">
        <v>70</v>
      </c>
      <c r="D182" s="68">
        <f>C182*B182</f>
        <v/>
      </c>
      <c r="E182" s="76" t="n"/>
      <c r="F182" s="87">
        <f>E182+D182</f>
        <v/>
      </c>
      <c r="G182" s="69">
        <f>F182</f>
        <v/>
      </c>
      <c r="H182" s="143" t="n">
        <v>45063</v>
      </c>
      <c r="I182" s="79" t="inlineStr">
        <is>
          <t>PIX</t>
        </is>
      </c>
      <c r="J182" s="236" t="n"/>
      <c r="K182" s="165" t="n"/>
      <c r="L182" s="236" t="n"/>
      <c r="M182" s="236" t="n"/>
      <c r="N182" s="236" t="n"/>
      <c r="O182" s="236" t="n"/>
      <c r="P182" s="236" t="n"/>
    </row>
    <row r="183">
      <c r="A183" s="236" t="inlineStr">
        <is>
          <t>O campo uniano</t>
        </is>
      </c>
      <c r="B183" s="165" t="n">
        <v>1</v>
      </c>
      <c r="C183" s="68" t="n">
        <v>120</v>
      </c>
      <c r="D183" s="68">
        <f>C183*B183</f>
        <v/>
      </c>
      <c r="E183" s="76" t="n"/>
      <c r="F183" s="87">
        <f>E183+D183</f>
        <v/>
      </c>
      <c r="G183" s="69">
        <f>F183</f>
        <v/>
      </c>
      <c r="H183" s="143" t="n">
        <v>45063</v>
      </c>
      <c r="I183" s="79" t="inlineStr">
        <is>
          <t>PIX</t>
        </is>
      </c>
      <c r="J183" s="236" t="n"/>
      <c r="K183" s="165" t="n"/>
      <c r="L183" s="236" t="n"/>
      <c r="M183" s="236" t="n"/>
      <c r="N183" s="236" t="n"/>
      <c r="O183" s="236" t="n"/>
      <c r="P183" s="236" t="n"/>
    </row>
    <row r="184">
      <c r="A184" s="236" t="inlineStr">
        <is>
          <t>O campo uniano</t>
        </is>
      </c>
      <c r="B184" s="165" t="n">
        <v>1</v>
      </c>
      <c r="C184" s="68" t="n">
        <v>120</v>
      </c>
      <c r="D184" s="68">
        <f>C184*B184</f>
        <v/>
      </c>
      <c r="E184" s="76" t="n"/>
      <c r="F184" s="87">
        <f>E184+D184</f>
        <v/>
      </c>
      <c r="G184" s="69">
        <f>F184</f>
        <v/>
      </c>
      <c r="H184" s="143" t="n">
        <v>45063</v>
      </c>
      <c r="I184" s="79" t="inlineStr">
        <is>
          <t>PIX</t>
        </is>
      </c>
      <c r="J184" s="236" t="n"/>
      <c r="K184" s="165" t="n"/>
      <c r="L184" s="236" t="n"/>
      <c r="M184" s="236" t="n"/>
      <c r="N184" s="236" t="n"/>
      <c r="O184" s="236" t="n"/>
      <c r="P184" s="236" t="n"/>
    </row>
    <row r="185">
      <c r="A185" s="236" t="inlineStr">
        <is>
          <t>Taxa Envio</t>
        </is>
      </c>
      <c r="B185" s="165" t="n">
        <v>1</v>
      </c>
      <c r="C185" s="68" t="n"/>
      <c r="D185" s="68" t="n"/>
      <c r="E185" s="76" t="n">
        <v>15</v>
      </c>
      <c r="F185" s="87">
        <f>E185+D185</f>
        <v/>
      </c>
      <c r="G185" s="69">
        <f>F185</f>
        <v/>
      </c>
      <c r="H185" s="143" t="n">
        <v>45063</v>
      </c>
      <c r="I185" s="79" t="inlineStr">
        <is>
          <t>PIX</t>
        </is>
      </c>
      <c r="J185" s="236" t="n"/>
      <c r="K185" s="165" t="n"/>
      <c r="L185" s="236" t="n"/>
      <c r="M185" s="236" t="n"/>
      <c r="N185" s="236" t="n"/>
      <c r="O185" s="236" t="n"/>
      <c r="P185" s="236" t="n"/>
    </row>
    <row r="186">
      <c r="A186" s="236" t="inlineStr">
        <is>
          <t>Agente 19</t>
        </is>
      </c>
      <c r="B186" s="165" t="n">
        <v>1</v>
      </c>
      <c r="C186" s="68" t="n">
        <v>30</v>
      </c>
      <c r="D186" s="68">
        <f>C186*B186</f>
        <v/>
      </c>
      <c r="E186" s="76" t="n"/>
      <c r="F186" s="87">
        <f>E186+D186</f>
        <v/>
      </c>
      <c r="G186" s="69">
        <f>F186</f>
        <v/>
      </c>
      <c r="H186" s="143" t="n">
        <v>45064</v>
      </c>
      <c r="I186" s="79" t="inlineStr">
        <is>
          <t>PIX</t>
        </is>
      </c>
      <c r="J186" s="236" t="n"/>
      <c r="K186" s="165" t="n"/>
      <c r="L186" s="236" t="n"/>
      <c r="M186" s="236" t="n"/>
      <c r="N186" s="236" t="n"/>
      <c r="O186" s="236" t="n"/>
      <c r="P186" s="236" t="n"/>
    </row>
    <row r="187">
      <c r="A187" s="236" t="inlineStr">
        <is>
          <t>Memória, Linguagem e Mente</t>
        </is>
      </c>
      <c r="B187" s="165" t="n">
        <v>1</v>
      </c>
      <c r="C187" s="68" t="n">
        <v>75</v>
      </c>
      <c r="D187" s="68">
        <f>C187*B187</f>
        <v/>
      </c>
      <c r="E187" s="117" t="n"/>
      <c r="F187" s="87">
        <f>E187+D187+D188</f>
        <v/>
      </c>
      <c r="G187" s="69">
        <f>F187</f>
        <v/>
      </c>
      <c r="H187" s="70" t="n">
        <v>45065</v>
      </c>
      <c r="I187" s="79" t="inlineStr">
        <is>
          <t>PIX</t>
        </is>
      </c>
      <c r="J187" s="165" t="n"/>
      <c r="K187" s="165" t="n"/>
      <c r="L187" s="236" t="n"/>
      <c r="M187" s="236" t="n"/>
      <c r="N187" s="236" t="n"/>
      <c r="O187" s="236" t="n"/>
      <c r="P187" s="236" t="n"/>
    </row>
    <row r="188">
      <c r="A188" s="236" t="inlineStr">
        <is>
          <t>Neurose Obsessiva No Feminino</t>
        </is>
      </c>
      <c r="B188" s="165" t="n">
        <v>1</v>
      </c>
      <c r="C188" s="68" t="n">
        <v>48</v>
      </c>
      <c r="D188" s="68">
        <f>C188*B188</f>
        <v/>
      </c>
      <c r="E188" s="340" t="n"/>
      <c r="F188" s="340" t="n"/>
      <c r="G188" s="340" t="n"/>
      <c r="H188" s="340" t="n"/>
      <c r="I188" s="340" t="n"/>
      <c r="J188" s="340" t="n"/>
      <c r="K188" s="340" t="n"/>
      <c r="L188" s="236" t="n"/>
      <c r="M188" s="236" t="n"/>
      <c r="N188" s="236" t="n"/>
      <c r="O188" s="236" t="n"/>
      <c r="P188" s="236" t="n"/>
    </row>
    <row r="189">
      <c r="A189" s="236" t="inlineStr">
        <is>
          <t>Cuando el Cuerco se Deshace</t>
        </is>
      </c>
      <c r="B189" s="165" t="n">
        <v>1</v>
      </c>
      <c r="C189" s="68" t="n">
        <v>95</v>
      </c>
      <c r="D189" s="68">
        <f>C189*B189</f>
        <v/>
      </c>
      <c r="E189" s="117" t="n"/>
      <c r="F189" s="87">
        <f>E189+D189+D190</f>
        <v/>
      </c>
      <c r="G189" s="69">
        <f>F189</f>
        <v/>
      </c>
      <c r="H189" s="70" t="n">
        <v>45066</v>
      </c>
      <c r="I189" s="79" t="inlineStr">
        <is>
          <t>PIX</t>
        </is>
      </c>
      <c r="J189" s="165" t="n"/>
      <c r="K189" s="165" t="n"/>
      <c r="L189" s="236" t="n"/>
      <c r="M189" s="236" t="n"/>
      <c r="N189" s="236" t="n"/>
      <c r="O189" s="236" t="n"/>
      <c r="P189" s="236" t="n"/>
    </row>
    <row r="190">
      <c r="A190" s="236" t="inlineStr">
        <is>
          <t>Neurologia versus Psicoanálisis</t>
        </is>
      </c>
      <c r="B190" s="165" t="n">
        <v>5</v>
      </c>
      <c r="C190" s="68" t="n">
        <v>90</v>
      </c>
      <c r="D190" s="68">
        <f>C190*B190</f>
        <v/>
      </c>
      <c r="E190" s="340" t="n"/>
      <c r="F190" s="340" t="n"/>
      <c r="G190" s="340" t="n"/>
      <c r="H190" s="340" t="n"/>
      <c r="I190" s="340" t="n"/>
      <c r="J190" s="340" t="n"/>
      <c r="K190" s="340" t="n"/>
      <c r="L190" s="236" t="n"/>
      <c r="M190" s="236" t="n"/>
      <c r="N190" s="236" t="n"/>
      <c r="O190" s="236" t="n"/>
      <c r="P190" s="236" t="n"/>
    </row>
    <row r="191">
      <c r="A191" s="236" t="inlineStr">
        <is>
          <t>La Condición Femenina</t>
        </is>
      </c>
      <c r="B191" s="165" t="n">
        <v>1</v>
      </c>
      <c r="C191" s="68" t="n">
        <v>90</v>
      </c>
      <c r="D191" s="68">
        <f>C191*B191</f>
        <v/>
      </c>
      <c r="E191" s="76" t="n"/>
      <c r="F191" s="87">
        <f>E191+D191</f>
        <v/>
      </c>
      <c r="G191" s="69">
        <f>F191</f>
        <v/>
      </c>
      <c r="H191" s="143" t="n">
        <v>45070</v>
      </c>
      <c r="I191" s="79" t="inlineStr">
        <is>
          <t>PIX</t>
        </is>
      </c>
      <c r="J191" s="236" t="n"/>
      <c r="K191" s="236" t="n"/>
      <c r="L191" s="236" t="n"/>
      <c r="M191" s="236" t="n"/>
      <c r="N191" s="236" t="n"/>
      <c r="O191" s="236" t="n"/>
      <c r="P191" s="236" t="n"/>
    </row>
    <row r="192">
      <c r="A192" s="236" t="inlineStr">
        <is>
          <t xml:space="preserve">La condicion femenina </t>
        </is>
      </c>
      <c r="B192" s="165" t="n">
        <v>1</v>
      </c>
      <c r="C192" s="68" t="n">
        <v>90</v>
      </c>
      <c r="D192" s="68">
        <f>C192*B192</f>
        <v/>
      </c>
      <c r="E192" s="76" t="n"/>
      <c r="F192" s="87">
        <f>E192+D192</f>
        <v/>
      </c>
      <c r="G192" s="69">
        <f>F192</f>
        <v/>
      </c>
      <c r="H192" s="143" t="n">
        <v>45070</v>
      </c>
      <c r="I192" s="79" t="inlineStr">
        <is>
          <t>PIX</t>
        </is>
      </c>
      <c r="J192" s="236" t="n"/>
      <c r="K192" s="236" t="n"/>
      <c r="L192" s="236" t="n"/>
      <c r="M192" s="236" t="n"/>
      <c r="N192" s="236" t="n"/>
      <c r="O192" s="236" t="n"/>
      <c r="P192" s="236" t="n"/>
    </row>
    <row r="193">
      <c r="A193" s="236" t="inlineStr">
        <is>
          <t>La Condición Femenina</t>
        </is>
      </c>
      <c r="B193" s="165" t="n">
        <v>1</v>
      </c>
      <c r="C193" s="68" t="n">
        <v>90</v>
      </c>
      <c r="D193" s="68">
        <f>C193*B193</f>
        <v/>
      </c>
      <c r="E193" s="117" t="n"/>
      <c r="F193" s="87">
        <f>E193+D193+D194+D195+D196</f>
        <v/>
      </c>
      <c r="G193" s="69">
        <f>F193</f>
        <v/>
      </c>
      <c r="H193" s="70" t="n">
        <v>45070</v>
      </c>
      <c r="I193" s="79" t="inlineStr">
        <is>
          <t>PIX</t>
        </is>
      </c>
      <c r="J193" s="165" t="n"/>
      <c r="K193" s="165" t="n"/>
      <c r="L193" s="236" t="n"/>
      <c r="M193" s="236" t="n"/>
      <c r="N193" s="236" t="n"/>
      <c r="O193" s="236" t="n"/>
      <c r="P193" s="236" t="n"/>
    </row>
    <row r="194">
      <c r="A194" s="236" t="inlineStr">
        <is>
          <t>Fundamento da Prática Lacaniana</t>
        </is>
      </c>
      <c r="B194" s="165" t="n">
        <v>1</v>
      </c>
      <c r="C194" s="68" t="n">
        <v>50</v>
      </c>
      <c r="D194" s="68">
        <f>C194*B194</f>
        <v/>
      </c>
      <c r="E194" s="343" t="n"/>
      <c r="F194" s="343" t="n"/>
      <c r="G194" s="343" t="n"/>
      <c r="H194" s="343" t="n"/>
      <c r="I194" s="343" t="n"/>
      <c r="J194" s="343" t="n"/>
      <c r="K194" s="343" t="n"/>
      <c r="L194" s="236" t="n"/>
      <c r="M194" s="236" t="n"/>
      <c r="N194" s="236" t="n"/>
      <c r="O194" s="236" t="n"/>
      <c r="P194" s="236" t="n"/>
    </row>
    <row r="195">
      <c r="A195" s="236" t="inlineStr">
        <is>
          <t>Cómo comienzan y finalizan los análisis</t>
        </is>
      </c>
      <c r="B195" s="165" t="n">
        <v>1</v>
      </c>
      <c r="C195" s="68" t="n">
        <v>75</v>
      </c>
      <c r="D195" s="68">
        <f>C195*B195</f>
        <v/>
      </c>
      <c r="E195" s="343" t="n"/>
      <c r="F195" s="343" t="n"/>
      <c r="G195" s="343" t="n"/>
      <c r="H195" s="343" t="n"/>
      <c r="I195" s="343" t="n"/>
      <c r="J195" s="343" t="n"/>
      <c r="K195" s="343" t="n"/>
      <c r="L195" s="236" t="n"/>
      <c r="M195" s="236" t="n"/>
      <c r="N195" s="236" t="n"/>
      <c r="O195" s="236" t="n"/>
      <c r="P195" s="236" t="n"/>
    </row>
    <row r="196">
      <c r="A196" s="236" t="inlineStr">
        <is>
          <t>Incidencias clínicas de la carencia paterna</t>
        </is>
      </c>
      <c r="B196" s="165" t="n">
        <v>1</v>
      </c>
      <c r="C196" s="68" t="n">
        <v>85</v>
      </c>
      <c r="D196" s="68">
        <f>C196*B196</f>
        <v/>
      </c>
      <c r="E196" s="340" t="n"/>
      <c r="F196" s="340" t="n"/>
      <c r="G196" s="340" t="n"/>
      <c r="H196" s="340" t="n"/>
      <c r="I196" s="340" t="n"/>
      <c r="J196" s="340" t="n"/>
      <c r="K196" s="340" t="n"/>
      <c r="L196" s="236" t="n"/>
      <c r="M196" s="236" t="n"/>
      <c r="N196" s="236" t="n"/>
      <c r="O196" s="236" t="n"/>
      <c r="P196" s="236" t="n"/>
    </row>
    <row r="197">
      <c r="A197" s="236" t="inlineStr">
        <is>
          <t>Anatomía De La Modernidad</t>
        </is>
      </c>
      <c r="B197" s="165" t="n">
        <v>1</v>
      </c>
      <c r="C197" s="68" t="n">
        <v>75</v>
      </c>
      <c r="D197" s="68">
        <f>C197*B197</f>
        <v/>
      </c>
      <c r="E197" s="117" t="n"/>
      <c r="F197" s="87">
        <f>E197+D197+D198</f>
        <v/>
      </c>
      <c r="G197" s="69">
        <f>F197</f>
        <v/>
      </c>
      <c r="H197" s="350" t="n">
        <v>45070</v>
      </c>
      <c r="I197" s="165" t="inlineStr">
        <is>
          <t>PIX</t>
        </is>
      </c>
      <c r="J197" s="165" t="n"/>
      <c r="K197" s="165" t="n"/>
      <c r="L197" s="236" t="n"/>
      <c r="M197" s="236" t="n"/>
      <c r="N197" s="236" t="n"/>
      <c r="O197" s="236" t="n"/>
      <c r="P197" s="236" t="n"/>
    </row>
    <row r="198">
      <c r="A198" s="236" t="inlineStr">
        <is>
          <t>La Condición Femenina</t>
        </is>
      </c>
      <c r="B198" s="165" t="n">
        <v>1</v>
      </c>
      <c r="C198" s="68" t="n">
        <v>90</v>
      </c>
      <c r="D198" s="68">
        <f>C198*B198</f>
        <v/>
      </c>
      <c r="E198" s="340" t="n"/>
      <c r="F198" s="340" t="n"/>
      <c r="G198" s="340" t="n"/>
      <c r="H198" s="340" t="n"/>
      <c r="I198" s="340" t="n"/>
      <c r="J198" s="340" t="n"/>
      <c r="K198" s="340" t="n"/>
      <c r="L198" s="236" t="n"/>
      <c r="M198" s="236" t="n"/>
      <c r="N198" s="236" t="n"/>
      <c r="O198" s="236" t="n"/>
      <c r="P198" s="236" t="n"/>
    </row>
    <row r="199">
      <c r="A199" s="236" t="inlineStr">
        <is>
          <t>Agente 20</t>
        </is>
      </c>
      <c r="B199" s="165" t="n">
        <v>1</v>
      </c>
      <c r="C199" s="68" t="n">
        <v>70</v>
      </c>
      <c r="D199" s="68">
        <f>C199*B199</f>
        <v/>
      </c>
      <c r="E199" s="76" t="n"/>
      <c r="F199" s="87">
        <f>E199+D199</f>
        <v/>
      </c>
      <c r="G199" s="69">
        <f>F199</f>
        <v/>
      </c>
      <c r="H199" s="184" t="n">
        <v>45075</v>
      </c>
      <c r="I199" s="236" t="inlineStr">
        <is>
          <t>PIX</t>
        </is>
      </c>
      <c r="J199" s="236" t="n"/>
      <c r="K199" s="236" t="n"/>
      <c r="L199" s="236" t="n"/>
      <c r="M199" s="236" t="n"/>
      <c r="N199" s="236" t="n"/>
      <c r="O199" s="236" t="n"/>
      <c r="P199" s="236" t="n"/>
    </row>
    <row r="200">
      <c r="A200" s="236" t="inlineStr">
        <is>
          <t>O campo uniano</t>
        </is>
      </c>
      <c r="B200" s="165" t="n">
        <v>1</v>
      </c>
      <c r="C200" s="68" t="n">
        <v>100</v>
      </c>
      <c r="D200" s="68">
        <f>C200*B200</f>
        <v/>
      </c>
      <c r="E200" s="76" t="n"/>
      <c r="F200" s="87">
        <f>E200+D200</f>
        <v/>
      </c>
      <c r="G200" s="69">
        <f>F200</f>
        <v/>
      </c>
      <c r="H200" s="186" t="n">
        <v>45075</v>
      </c>
      <c r="I200" s="236" t="inlineStr">
        <is>
          <t>PIX</t>
        </is>
      </c>
      <c r="J200" s="236" t="n"/>
      <c r="K200" s="236" t="n"/>
      <c r="L200" s="236" t="n"/>
      <c r="M200" s="236" t="n"/>
      <c r="N200" s="236" t="n"/>
      <c r="O200" s="236" t="n"/>
      <c r="P200" s="236" t="n"/>
    </row>
    <row r="201">
      <c r="A201" s="236" t="inlineStr">
        <is>
          <t>Neurose Obsessiva No Feminino</t>
        </is>
      </c>
      <c r="B201" s="165" t="n">
        <v>1</v>
      </c>
      <c r="C201" s="68" t="n">
        <v>48</v>
      </c>
      <c r="D201" s="68">
        <f>C201*B201</f>
        <v/>
      </c>
      <c r="E201" s="76" t="n"/>
      <c r="F201" s="87">
        <f>E201+D201</f>
        <v/>
      </c>
      <c r="G201" s="69">
        <f>F201</f>
        <v/>
      </c>
      <c r="H201" s="186" t="n">
        <v>45076</v>
      </c>
      <c r="I201" s="236" t="inlineStr">
        <is>
          <t>PIX</t>
        </is>
      </c>
      <c r="J201" s="236" t="n"/>
      <c r="K201" s="236" t="n"/>
      <c r="L201" s="236" t="n"/>
      <c r="M201" s="236" t="n"/>
      <c r="N201" s="236" t="n"/>
      <c r="O201" s="236" t="n"/>
      <c r="P201" s="236" t="n"/>
    </row>
    <row r="202">
      <c r="A202" s="236" t="inlineStr">
        <is>
          <t>Neurose Obsessiva No Feminino</t>
        </is>
      </c>
      <c r="B202" s="165" t="n">
        <v>1</v>
      </c>
      <c r="C202" s="68" t="n">
        <v>48</v>
      </c>
      <c r="D202" s="68">
        <f>C202*B202</f>
        <v/>
      </c>
      <c r="E202" s="76" t="n"/>
      <c r="F202" s="87">
        <f>E202+D202</f>
        <v/>
      </c>
      <c r="G202" s="69">
        <f>F202</f>
        <v/>
      </c>
      <c r="H202" s="186" t="n">
        <v>45077</v>
      </c>
      <c r="I202" s="236" t="inlineStr">
        <is>
          <t>PIX</t>
        </is>
      </c>
      <c r="J202" s="236" t="n"/>
      <c r="K202" s="236" t="n"/>
      <c r="L202" s="236" t="n"/>
      <c r="M202" s="236" t="n"/>
      <c r="N202" s="236" t="n"/>
      <c r="O202" s="236" t="n"/>
      <c r="P202" s="236" t="n"/>
    </row>
    <row r="203">
      <c r="A203" s="236" t="inlineStr">
        <is>
          <t>Matrimonio</t>
        </is>
      </c>
      <c r="B203" s="165" t="n">
        <v>1</v>
      </c>
      <c r="C203" s="68" t="n">
        <v>70</v>
      </c>
      <c r="D203" s="68">
        <f>C203*B203</f>
        <v/>
      </c>
      <c r="E203" s="117" t="n"/>
      <c r="F203" s="87">
        <f>E203+D203+D204</f>
        <v/>
      </c>
      <c r="G203" s="69">
        <f>F203</f>
        <v/>
      </c>
      <c r="H203" s="195" t="n">
        <v>45077</v>
      </c>
      <c r="I203" s="165" t="inlineStr">
        <is>
          <t>PIX</t>
        </is>
      </c>
      <c r="J203" s="165" t="n"/>
      <c r="K203" s="165" t="n"/>
      <c r="L203" s="236" t="n"/>
      <c r="M203" s="236" t="n"/>
      <c r="N203" s="236" t="n"/>
      <c r="O203" s="236" t="n"/>
      <c r="P203" s="236" t="n"/>
    </row>
    <row r="204">
      <c r="A204" s="236" t="inlineStr">
        <is>
          <t>Neurologia versus Psicoanálisis</t>
        </is>
      </c>
      <c r="B204" s="165" t="n">
        <v>1</v>
      </c>
      <c r="C204" s="68" t="n">
        <v>90</v>
      </c>
      <c r="D204" s="68">
        <f>C204*B204</f>
        <v/>
      </c>
      <c r="E204" s="340" t="n"/>
      <c r="F204" s="340" t="n"/>
      <c r="G204" s="340" t="n"/>
      <c r="H204" s="340" t="n"/>
      <c r="I204" s="340" t="n"/>
      <c r="J204" s="340" t="n"/>
      <c r="K204" s="340" t="n"/>
      <c r="L204" s="236" t="n"/>
      <c r="M204" s="236" t="n"/>
      <c r="N204" s="236" t="n"/>
      <c r="O204" s="236" t="n"/>
      <c r="P204" s="236" t="n"/>
    </row>
    <row r="205">
      <c r="A205" s="236" t="inlineStr">
        <is>
          <t>Anatomía De La Modernidad</t>
        </is>
      </c>
      <c r="B205" s="165" t="n">
        <v>1</v>
      </c>
      <c r="C205" s="68" t="n">
        <v>75</v>
      </c>
      <c r="D205" s="68">
        <f>C205*B205</f>
        <v/>
      </c>
      <c r="E205" s="76" t="n"/>
      <c r="F205" s="87">
        <f>E205+D205</f>
        <v/>
      </c>
      <c r="G205" s="69">
        <f>F205</f>
        <v/>
      </c>
      <c r="H205" s="186" t="n">
        <v>45077</v>
      </c>
      <c r="I205" s="236" t="inlineStr">
        <is>
          <t>PIX</t>
        </is>
      </c>
      <c r="J205" s="236" t="n"/>
      <c r="K205" s="236" t="n"/>
      <c r="L205" s="236" t="n"/>
      <c r="M205" s="236" t="n"/>
      <c r="N205" s="236" t="n"/>
      <c r="O205" s="236" t="n"/>
      <c r="P205" s="236" t="n"/>
    </row>
    <row r="206">
      <c r="A206" s="236" t="inlineStr">
        <is>
          <t>Anatomía De La Modernidad</t>
        </is>
      </c>
      <c r="B206" s="165" t="n">
        <v>1</v>
      </c>
      <c r="C206" s="68" t="n">
        <v>75</v>
      </c>
      <c r="D206" s="68">
        <f>C206*B206</f>
        <v/>
      </c>
      <c r="E206" s="76" t="n"/>
      <c r="F206" s="87">
        <f>E206+D206</f>
        <v/>
      </c>
      <c r="G206" s="69">
        <f>F206</f>
        <v/>
      </c>
      <c r="H206" s="186" t="n">
        <v>45077</v>
      </c>
      <c r="I206" s="236" t="inlineStr">
        <is>
          <t>PIX</t>
        </is>
      </c>
      <c r="J206" s="236" t="n"/>
      <c r="K206" s="236" t="n"/>
      <c r="L206" s="236" t="n"/>
      <c r="M206" s="236" t="n"/>
      <c r="N206" s="236" t="n"/>
      <c r="O206" s="236" t="n"/>
      <c r="P206" s="236" t="n"/>
    </row>
    <row r="207">
      <c r="A207" s="236" t="inlineStr">
        <is>
          <t>Neurose Obsessiva No Feminino</t>
        </is>
      </c>
      <c r="B207" s="165" t="n">
        <v>1</v>
      </c>
      <c r="C207" s="68" t="n">
        <v>48</v>
      </c>
      <c r="D207" s="68">
        <f>C207*B207</f>
        <v/>
      </c>
      <c r="E207" s="76" t="n"/>
      <c r="F207" s="68">
        <f>E207+D207</f>
        <v/>
      </c>
      <c r="G207" s="69">
        <f>F207</f>
        <v/>
      </c>
      <c r="H207" s="186" t="n">
        <v>45078</v>
      </c>
      <c r="I207" s="236" t="inlineStr">
        <is>
          <t>PIX</t>
        </is>
      </c>
      <c r="J207" s="236" t="n"/>
      <c r="K207" s="236" t="n"/>
      <c r="L207" s="236" t="n"/>
      <c r="M207" s="236" t="n"/>
      <c r="N207" s="236" t="n"/>
      <c r="O207" s="236" t="n"/>
      <c r="P207" s="236" t="n"/>
    </row>
    <row r="208">
      <c r="A208" s="236" t="inlineStr">
        <is>
          <t>Matrimonio</t>
        </is>
      </c>
      <c r="B208" s="165" t="n">
        <v>1</v>
      </c>
      <c r="C208" s="68" t="n">
        <v>70</v>
      </c>
      <c r="D208" s="68">
        <f>C208*B208</f>
        <v/>
      </c>
      <c r="E208" s="117" t="n"/>
      <c r="F208" s="68">
        <f>E208+D208+D209</f>
        <v/>
      </c>
      <c r="G208" s="69">
        <f>F208</f>
        <v/>
      </c>
      <c r="H208" s="195" t="n">
        <v>45078</v>
      </c>
      <c r="I208" s="165" t="inlineStr">
        <is>
          <t>PIX</t>
        </is>
      </c>
      <c r="J208" s="165" t="n"/>
      <c r="K208" s="165" t="n"/>
      <c r="L208" s="236" t="n"/>
      <c r="M208" s="236" t="n"/>
      <c r="N208" s="236" t="n"/>
      <c r="O208" s="236" t="n"/>
      <c r="P208" s="236" t="n"/>
    </row>
    <row r="209">
      <c r="A209" s="236" t="inlineStr">
        <is>
          <t>Anatomía De La Modernidad</t>
        </is>
      </c>
      <c r="B209" s="165" t="n">
        <v>1</v>
      </c>
      <c r="C209" s="68" t="n">
        <v>75</v>
      </c>
      <c r="D209" s="68">
        <f>C209*B209</f>
        <v/>
      </c>
      <c r="E209" s="340" t="n"/>
      <c r="F209" s="340" t="n"/>
      <c r="G209" s="340" t="n"/>
      <c r="H209" s="340" t="n"/>
      <c r="I209" s="340" t="n"/>
      <c r="J209" s="340" t="n"/>
      <c r="K209" s="340" t="n"/>
      <c r="L209" s="236" t="n"/>
      <c r="M209" s="236" t="n"/>
      <c r="N209" s="236" t="n"/>
      <c r="O209" s="236" t="n"/>
      <c r="P209" s="236" t="n"/>
    </row>
    <row r="210">
      <c r="A210" s="236" t="inlineStr">
        <is>
          <t>Memória, Linguagem e Mente</t>
        </is>
      </c>
      <c r="B210" s="165" t="n">
        <v>1</v>
      </c>
      <c r="C210" s="68" t="n">
        <v>75</v>
      </c>
      <c r="D210" s="68">
        <f>C210*B210</f>
        <v/>
      </c>
      <c r="E210" s="90" t="n"/>
      <c r="F210" s="68">
        <f>E210+D210</f>
        <v/>
      </c>
      <c r="G210" s="69">
        <f>F210</f>
        <v/>
      </c>
      <c r="H210" s="190" t="n">
        <v>45082</v>
      </c>
      <c r="I210" s="94" t="inlineStr">
        <is>
          <t>PIX</t>
        </is>
      </c>
      <c r="J210" s="94" t="n"/>
      <c r="K210" s="94" t="n"/>
      <c r="L210" s="236" t="n"/>
      <c r="M210" s="236" t="n"/>
      <c r="N210" s="236" t="n"/>
      <c r="O210" s="236" t="n"/>
      <c r="P210" s="236" t="n"/>
    </row>
    <row r="211">
      <c r="A211" s="236" t="inlineStr">
        <is>
          <t>Neurologia versus Psicoanálisis</t>
        </is>
      </c>
      <c r="B211" s="165" t="n">
        <v>1</v>
      </c>
      <c r="C211" s="68" t="n">
        <v>90</v>
      </c>
      <c r="D211" s="68">
        <f>C211*B211</f>
        <v/>
      </c>
      <c r="E211" s="90" t="n"/>
      <c r="F211" s="68">
        <f>E211+D211</f>
        <v/>
      </c>
      <c r="G211" s="69">
        <f>F211</f>
        <v/>
      </c>
      <c r="H211" s="190" t="n">
        <v>45082</v>
      </c>
      <c r="I211" s="94" t="inlineStr">
        <is>
          <t>pix</t>
        </is>
      </c>
      <c r="J211" s="94" t="n"/>
      <c r="K211" s="94" t="n"/>
      <c r="L211" s="236" t="n"/>
      <c r="M211" s="236" t="n"/>
      <c r="N211" s="236" t="n"/>
      <c r="O211" s="236" t="n"/>
      <c r="P211" s="236" t="n"/>
    </row>
    <row r="212">
      <c r="A212" s="236" t="inlineStr">
        <is>
          <t>Violencia en Las escuelas</t>
        </is>
      </c>
      <c r="B212" s="165" t="n">
        <v>1</v>
      </c>
      <c r="C212" s="68" t="n">
        <v>85</v>
      </c>
      <c r="D212" s="68">
        <f>C212*B212</f>
        <v/>
      </c>
      <c r="E212" s="117" t="n"/>
      <c r="F212" s="68">
        <f>E212+D212+D213+D214+D215</f>
        <v/>
      </c>
      <c r="G212" s="69">
        <f>F212</f>
        <v/>
      </c>
      <c r="H212" s="195" t="n">
        <v>45084</v>
      </c>
      <c r="I212" s="165" t="inlineStr">
        <is>
          <t>PIX</t>
        </is>
      </c>
      <c r="J212" s="165" t="n"/>
      <c r="K212" s="165" t="n"/>
      <c r="L212" s="236" t="n"/>
      <c r="M212" s="236" t="n"/>
      <c r="N212" s="236" t="n"/>
      <c r="O212" s="236" t="n"/>
      <c r="P212" s="236" t="n"/>
    </row>
    <row r="213">
      <c r="A213" s="236" t="inlineStr">
        <is>
          <t>La condición Perversa</t>
        </is>
      </c>
      <c r="B213" s="165" t="n">
        <v>1</v>
      </c>
      <c r="C213" s="68" t="n">
        <v>80</v>
      </c>
      <c r="D213" s="68">
        <f>C213*B213</f>
        <v/>
      </c>
      <c r="E213" s="343" t="n"/>
      <c r="F213" s="343" t="n"/>
      <c r="G213" s="343" t="n"/>
      <c r="H213" s="343" t="n"/>
      <c r="I213" s="343" t="n"/>
      <c r="J213" s="343" t="n"/>
      <c r="K213" s="343" t="n"/>
      <c r="L213" s="236" t="n"/>
      <c r="M213" s="236" t="n"/>
      <c r="N213" s="236" t="n"/>
      <c r="O213" s="236" t="n"/>
      <c r="P213" s="236" t="n"/>
    </row>
    <row r="214">
      <c r="A214" s="236" t="inlineStr">
        <is>
          <t>Fundamento da Prática Lacaniana</t>
        </is>
      </c>
      <c r="B214" s="165" t="n">
        <v>1</v>
      </c>
      <c r="C214" s="68" t="n">
        <v>50</v>
      </c>
      <c r="D214" s="68">
        <f>C214*B214</f>
        <v/>
      </c>
      <c r="E214" s="343" t="n"/>
      <c r="F214" s="343" t="n"/>
      <c r="G214" s="343" t="n"/>
      <c r="H214" s="343" t="n"/>
      <c r="I214" s="343" t="n"/>
      <c r="J214" s="343" t="n"/>
      <c r="K214" s="343" t="n"/>
      <c r="L214" s="236" t="n"/>
      <c r="M214" s="236" t="n"/>
      <c r="N214" s="236" t="n"/>
      <c r="O214" s="236" t="n"/>
      <c r="P214" s="236" t="n"/>
    </row>
    <row r="215">
      <c r="A215" s="236" t="inlineStr">
        <is>
          <t>Agente 20</t>
        </is>
      </c>
      <c r="B215" s="165" t="n">
        <v>1</v>
      </c>
      <c r="C215" s="68" t="n">
        <v>50</v>
      </c>
      <c r="D215" s="68">
        <f>C215*B215</f>
        <v/>
      </c>
      <c r="E215" s="340" t="n"/>
      <c r="F215" s="340" t="n"/>
      <c r="G215" s="340" t="n"/>
      <c r="H215" s="340" t="n"/>
      <c r="I215" s="340" t="n"/>
      <c r="J215" s="340" t="n"/>
      <c r="K215" s="340" t="n"/>
      <c r="L215" s="236" t="n"/>
      <c r="M215" s="236" t="n"/>
      <c r="N215" s="236" t="n"/>
      <c r="O215" s="236" t="n"/>
      <c r="P215" s="236" t="n"/>
    </row>
    <row r="216">
      <c r="A216" s="236" t="inlineStr">
        <is>
          <t>Lacan e a Solução Elegante Na Psicose</t>
        </is>
      </c>
      <c r="B216" s="165" t="n">
        <v>1</v>
      </c>
      <c r="C216" s="68" t="n">
        <v>65</v>
      </c>
      <c r="D216" s="68">
        <f>C216*B216</f>
        <v/>
      </c>
      <c r="E216" s="90" t="n"/>
      <c r="F216" s="87">
        <f>E216+D216</f>
        <v/>
      </c>
      <c r="G216" s="69">
        <f>F216+D217+D218</f>
        <v/>
      </c>
      <c r="H216" s="195" t="n">
        <v>45087</v>
      </c>
      <c r="I216" s="165" t="inlineStr">
        <is>
          <t>PIX</t>
        </is>
      </c>
      <c r="J216" s="165" t="n"/>
      <c r="K216" s="165" t="n"/>
      <c r="L216" s="236" t="n"/>
      <c r="M216" s="236" t="n"/>
      <c r="N216" s="236" t="n"/>
      <c r="O216" s="236" t="n"/>
      <c r="P216" s="236" t="n"/>
    </row>
    <row r="217">
      <c r="A217" s="236" t="inlineStr">
        <is>
          <t>Neurologia versus Psicoanálisis</t>
        </is>
      </c>
      <c r="B217" s="165" t="n">
        <v>1</v>
      </c>
      <c r="C217" s="68" t="n">
        <v>90</v>
      </c>
      <c r="D217" s="68">
        <f>C217*B217</f>
        <v/>
      </c>
      <c r="E217" s="90" t="n"/>
      <c r="F217" s="343" t="n"/>
      <c r="G217" s="343" t="n"/>
      <c r="H217" s="343" t="n"/>
      <c r="I217" s="343" t="n"/>
      <c r="J217" s="343" t="n"/>
      <c r="K217" s="343" t="n"/>
      <c r="L217" s="236" t="n"/>
      <c r="M217" s="236" t="n"/>
      <c r="N217" s="236" t="n"/>
      <c r="O217" s="236" t="n"/>
      <c r="P217" s="236" t="n"/>
    </row>
    <row r="218">
      <c r="A218" s="236" t="inlineStr">
        <is>
          <t>La condición Perversa</t>
        </is>
      </c>
      <c r="B218" s="165" t="n">
        <v>1</v>
      </c>
      <c r="C218" s="68" t="n">
        <v>80</v>
      </c>
      <c r="D218" s="68">
        <f>C218*B218</f>
        <v/>
      </c>
      <c r="E218" s="90" t="n"/>
      <c r="F218" s="340" t="n"/>
      <c r="G218" s="340" t="n"/>
      <c r="H218" s="340" t="n"/>
      <c r="I218" s="340" t="n"/>
      <c r="J218" s="340" t="n"/>
      <c r="K218" s="340" t="n"/>
      <c r="L218" s="236" t="n"/>
      <c r="M218" s="236" t="n"/>
      <c r="N218" s="236" t="n"/>
      <c r="O218" s="236" t="n"/>
      <c r="P218" s="236" t="n"/>
    </row>
    <row r="219">
      <c r="A219" s="236" t="inlineStr">
        <is>
          <t>Título não identificado</t>
        </is>
      </c>
      <c r="B219" s="165" t="n">
        <v>1</v>
      </c>
      <c r="C219" s="68" t="n">
        <v>298</v>
      </c>
      <c r="D219" s="68">
        <f>C219*B219</f>
        <v/>
      </c>
      <c r="E219" s="90" t="n"/>
      <c r="F219" s="87">
        <f>E219+D219</f>
        <v/>
      </c>
      <c r="G219" s="69">
        <f>F219</f>
        <v/>
      </c>
      <c r="H219" s="190" t="n">
        <v>45087</v>
      </c>
      <c r="I219" s="94" t="inlineStr">
        <is>
          <t>PIX</t>
        </is>
      </c>
      <c r="J219" s="94" t="n"/>
      <c r="K219" s="94" t="n"/>
      <c r="L219" s="236" t="n"/>
      <c r="M219" s="236" t="n"/>
      <c r="N219" s="236" t="n"/>
      <c r="O219" s="236" t="n"/>
      <c r="P219" s="236" t="n"/>
    </row>
    <row r="220">
      <c r="A220" s="236" t="inlineStr">
        <is>
          <t>Memória, Linguagem e Mente</t>
        </is>
      </c>
      <c r="B220" s="165" t="n">
        <v>1</v>
      </c>
      <c r="C220" s="68" t="n">
        <v>75</v>
      </c>
      <c r="D220" s="68">
        <f>C220*B220</f>
        <v/>
      </c>
      <c r="E220" s="90" t="n"/>
      <c r="F220" s="87">
        <f>E220+D220</f>
        <v/>
      </c>
      <c r="G220" s="69">
        <f>F220</f>
        <v/>
      </c>
      <c r="H220" s="190" t="n">
        <v>45087</v>
      </c>
      <c r="I220" s="94" t="inlineStr">
        <is>
          <t>PIX</t>
        </is>
      </c>
      <c r="J220" s="94" t="n"/>
      <c r="K220" s="94" t="n"/>
      <c r="L220" s="236" t="n"/>
      <c r="M220" s="236" t="n"/>
      <c r="N220" s="236" t="n"/>
      <c r="O220" s="236" t="n"/>
      <c r="P220" s="236" t="n"/>
    </row>
    <row r="221">
      <c r="A221" s="236" t="inlineStr">
        <is>
          <t>Incidencias clínicas de la carencia paterna</t>
        </is>
      </c>
      <c r="B221" s="165" t="n">
        <v>1</v>
      </c>
      <c r="C221" s="68" t="n">
        <v>85</v>
      </c>
      <c r="D221" s="68">
        <f>C221*B221</f>
        <v/>
      </c>
      <c r="E221" s="90" t="n"/>
      <c r="F221" s="87">
        <f>E221+D221</f>
        <v/>
      </c>
      <c r="G221" s="69">
        <f>F221</f>
        <v/>
      </c>
      <c r="H221" s="190" t="n">
        <v>45087</v>
      </c>
      <c r="I221" s="94" t="inlineStr">
        <is>
          <t>PIX</t>
        </is>
      </c>
      <c r="J221" s="94" t="n"/>
      <c r="K221" s="94" t="n"/>
      <c r="L221" s="236" t="n"/>
      <c r="M221" s="236" t="n"/>
      <c r="N221" s="236" t="n"/>
      <c r="O221" s="236" t="n"/>
      <c r="P221" s="236" t="n"/>
    </row>
    <row r="222">
      <c r="A222" s="236" t="inlineStr">
        <is>
          <t>El Nacimiento del Campo Freudiano</t>
        </is>
      </c>
      <c r="B222" s="165" t="n">
        <v>1</v>
      </c>
      <c r="C222" s="68" t="n">
        <v>135</v>
      </c>
      <c r="D222" s="68">
        <f>C222*B222</f>
        <v/>
      </c>
      <c r="E222" s="90" t="n"/>
      <c r="F222" s="87">
        <f>E222+D222</f>
        <v/>
      </c>
      <c r="G222" s="69">
        <f>F222</f>
        <v/>
      </c>
      <c r="H222" s="190" t="n">
        <v>45087</v>
      </c>
      <c r="I222" s="94" t="inlineStr">
        <is>
          <t>PIX</t>
        </is>
      </c>
      <c r="J222" s="94" t="n"/>
      <c r="K222" s="94" t="n"/>
      <c r="L222" s="236" t="n"/>
      <c r="M222" s="236" t="n"/>
      <c r="N222" s="236" t="n"/>
      <c r="O222" s="236" t="n"/>
      <c r="P222" s="236" t="n"/>
    </row>
    <row r="223">
      <c r="A223" s="236" t="inlineStr">
        <is>
          <t>Divergencia de valor</t>
        </is>
      </c>
      <c r="B223" s="165" t="n">
        <v>1</v>
      </c>
      <c r="C223" s="68" t="n">
        <v>50</v>
      </c>
      <c r="D223" s="68">
        <f>C223*B223</f>
        <v/>
      </c>
      <c r="E223" s="90" t="n"/>
      <c r="F223" s="87">
        <f>E223+D223</f>
        <v/>
      </c>
      <c r="G223" s="69">
        <f>F223</f>
        <v/>
      </c>
      <c r="H223" s="190" t="n">
        <v>45087</v>
      </c>
      <c r="I223" s="94" t="inlineStr">
        <is>
          <t>PIX</t>
        </is>
      </c>
      <c r="J223" s="94" t="n"/>
      <c r="K223" s="94" t="n"/>
      <c r="L223" s="236" t="n"/>
      <c r="M223" s="236" t="n"/>
      <c r="N223" s="236" t="n"/>
      <c r="O223" s="236" t="n"/>
      <c r="P223" s="236" t="n"/>
    </row>
    <row r="224">
      <c r="A224" s="236" t="inlineStr">
        <is>
          <t>Divergencia de valor</t>
        </is>
      </c>
      <c r="B224" s="165" t="n">
        <v>1</v>
      </c>
      <c r="C224" s="68" t="n">
        <v>20</v>
      </c>
      <c r="D224" s="68">
        <f>C224*B224</f>
        <v/>
      </c>
      <c r="E224" s="90" t="n"/>
      <c r="F224" s="87">
        <f>E224+D224</f>
        <v/>
      </c>
      <c r="G224" s="69">
        <f>F224</f>
        <v/>
      </c>
      <c r="H224" s="190" t="n">
        <v>45087</v>
      </c>
      <c r="I224" s="94" t="inlineStr">
        <is>
          <t>PIX</t>
        </is>
      </c>
      <c r="J224" s="94" t="n"/>
      <c r="K224" s="94" t="n"/>
      <c r="L224" s="236" t="n"/>
      <c r="M224" s="236" t="n"/>
      <c r="N224" s="236" t="n"/>
      <c r="O224" s="236" t="n"/>
      <c r="P224" s="236" t="n"/>
    </row>
    <row r="225">
      <c r="A225" s="236" t="inlineStr">
        <is>
          <t>El Nacimiento del Campo Freudiano</t>
        </is>
      </c>
      <c r="B225" s="165" t="n">
        <v>1</v>
      </c>
      <c r="C225" s="68" t="n">
        <v>180</v>
      </c>
      <c r="D225" s="68">
        <f>C225*B225</f>
        <v/>
      </c>
      <c r="E225" s="90" t="n"/>
      <c r="F225" s="87">
        <f>E225+D225</f>
        <v/>
      </c>
      <c r="G225" s="69">
        <f>F225</f>
        <v/>
      </c>
      <c r="H225" s="190" t="n">
        <v>45087</v>
      </c>
      <c r="I225" s="94" t="inlineStr">
        <is>
          <t>PIX</t>
        </is>
      </c>
      <c r="J225" s="94" t="n"/>
      <c r="K225" s="94" t="n"/>
      <c r="L225" s="236" t="n"/>
      <c r="M225" s="236" t="n"/>
      <c r="N225" s="236" t="n"/>
      <c r="O225" s="236" t="n"/>
      <c r="P225" s="236" t="n"/>
    </row>
    <row r="226">
      <c r="A226" s="236" t="inlineStr">
        <is>
          <t>Despertar e Inventar Em La Adolescencia</t>
        </is>
      </c>
      <c r="B226" s="165" t="n">
        <v>1</v>
      </c>
      <c r="C226" s="68" t="n">
        <v>95</v>
      </c>
      <c r="D226" s="68">
        <f>C226*B226</f>
        <v/>
      </c>
      <c r="E226" s="117" t="n"/>
      <c r="F226" s="87">
        <f>E226+D226+D227</f>
        <v/>
      </c>
      <c r="G226" s="69">
        <f>F226</f>
        <v/>
      </c>
      <c r="H226" s="195" t="n">
        <v>45091</v>
      </c>
      <c r="I226" s="165" t="inlineStr">
        <is>
          <t>PIX</t>
        </is>
      </c>
      <c r="J226" s="79" t="n"/>
      <c r="K226" s="165" t="n"/>
      <c r="L226" s="236" t="n"/>
      <c r="M226" s="236" t="n"/>
      <c r="N226" s="236" t="n"/>
      <c r="O226" s="236" t="n"/>
      <c r="P226" s="236" t="n"/>
    </row>
    <row r="227">
      <c r="A227" s="236" t="inlineStr">
        <is>
          <t>As Apaixonadas</t>
        </is>
      </c>
      <c r="B227" s="165" t="n">
        <v>1</v>
      </c>
      <c r="C227" s="68" t="n">
        <v>70</v>
      </c>
      <c r="D227" s="68">
        <f>C227*B227</f>
        <v/>
      </c>
      <c r="E227" s="340" t="n"/>
      <c r="F227" s="340" t="n"/>
      <c r="G227" s="340" t="n"/>
      <c r="H227" s="340" t="n"/>
      <c r="I227" s="340" t="n"/>
      <c r="J227" s="340" t="n"/>
      <c r="K227" s="340" t="n"/>
      <c r="L227" s="236" t="n"/>
      <c r="M227" s="236" t="n"/>
      <c r="N227" s="236" t="n"/>
      <c r="O227" s="236" t="n"/>
      <c r="P227" s="236" t="n"/>
    </row>
    <row r="228">
      <c r="A228" s="236" t="inlineStr">
        <is>
          <t>As Apaixonadas</t>
        </is>
      </c>
      <c r="B228" s="165" t="n">
        <v>1</v>
      </c>
      <c r="C228" s="68" t="n">
        <v>70</v>
      </c>
      <c r="D228" s="68">
        <f>C228*B228</f>
        <v/>
      </c>
      <c r="E228" s="90" t="n">
        <v>15</v>
      </c>
      <c r="F228" s="68">
        <f>E228+D228</f>
        <v/>
      </c>
      <c r="G228" s="69">
        <f>F228</f>
        <v/>
      </c>
      <c r="H228" s="190" t="n">
        <v>45091</v>
      </c>
      <c r="I228" s="94" t="inlineStr">
        <is>
          <t>PIX</t>
        </is>
      </c>
      <c r="J228" s="93" t="n"/>
      <c r="K228" s="94" t="n"/>
      <c r="L228" s="236" t="n"/>
      <c r="M228" s="236" t="n"/>
      <c r="N228" s="236" t="n"/>
      <c r="O228" s="236" t="n"/>
      <c r="P228" s="236" t="n"/>
    </row>
    <row r="229">
      <c r="A229" s="236" t="inlineStr">
        <is>
          <t>El Nacimiento del Campo Freudiano</t>
        </is>
      </c>
      <c r="B229" s="165" t="n">
        <v>1</v>
      </c>
      <c r="C229" s="68" t="n">
        <v>180</v>
      </c>
      <c r="D229" s="68">
        <f>C229*B229</f>
        <v/>
      </c>
      <c r="E229" s="76" t="n"/>
      <c r="F229" s="68">
        <f>E229+D229</f>
        <v/>
      </c>
      <c r="G229" s="69">
        <f>F229</f>
        <v/>
      </c>
      <c r="H229" s="195" t="n">
        <v>45092</v>
      </c>
      <c r="I229" s="165" t="inlineStr">
        <is>
          <t>PIX</t>
        </is>
      </c>
      <c r="J229" s="79" t="n"/>
      <c r="K229" s="165" t="n"/>
      <c r="L229" s="236" t="n"/>
      <c r="M229" s="236" t="n"/>
      <c r="N229" s="236" t="n"/>
      <c r="O229" s="236" t="n"/>
      <c r="P229" s="236" t="n"/>
    </row>
    <row r="230">
      <c r="A230" s="236" t="inlineStr">
        <is>
          <t>Desarraigados</t>
        </is>
      </c>
      <c r="B230" s="165" t="n">
        <v>1</v>
      </c>
      <c r="C230" s="68" t="n">
        <v>160</v>
      </c>
      <c r="D230" s="68">
        <f>C230*B230</f>
        <v/>
      </c>
      <c r="E230" s="76" t="n"/>
      <c r="F230" s="68">
        <f>E230+D230</f>
        <v/>
      </c>
      <c r="G230" s="69">
        <f>F230</f>
        <v/>
      </c>
      <c r="H230" s="195" t="n">
        <v>45092</v>
      </c>
      <c r="I230" s="165" t="inlineStr">
        <is>
          <t>PIX</t>
        </is>
      </c>
      <c r="J230" s="79" t="n"/>
      <c r="K230" s="165" t="n"/>
      <c r="L230" s="236" t="n"/>
      <c r="M230" s="236" t="n"/>
      <c r="N230" s="236" t="n"/>
      <c r="O230" s="236" t="n"/>
      <c r="P230" s="236" t="n"/>
    </row>
    <row r="231">
      <c r="A231" s="236" t="inlineStr">
        <is>
          <t>Matrimonio</t>
        </is>
      </c>
      <c r="B231" s="165" t="n">
        <v>1</v>
      </c>
      <c r="C231" s="68" t="n">
        <v>70</v>
      </c>
      <c r="D231" s="68">
        <f>C231*B231</f>
        <v/>
      </c>
      <c r="E231" s="76" t="n"/>
      <c r="F231" s="68">
        <f>E231+D231</f>
        <v/>
      </c>
      <c r="G231" s="69">
        <f>F231</f>
        <v/>
      </c>
      <c r="H231" s="195" t="n">
        <v>45092</v>
      </c>
      <c r="I231" s="165" t="inlineStr">
        <is>
          <t>PIX</t>
        </is>
      </c>
      <c r="J231" s="79" t="n"/>
      <c r="K231" s="165" t="n"/>
      <c r="L231" s="236" t="n"/>
      <c r="M231" s="236" t="n"/>
      <c r="N231" s="236" t="n"/>
      <c r="O231" s="236" t="n"/>
      <c r="P231" s="236" t="n"/>
    </row>
    <row r="232">
      <c r="A232" s="236" t="inlineStr">
        <is>
          <t>O campo uniano</t>
        </is>
      </c>
      <c r="B232" s="165" t="n">
        <v>1</v>
      </c>
      <c r="C232" s="68" t="n">
        <v>120</v>
      </c>
      <c r="D232" s="68">
        <f>C232*B232</f>
        <v/>
      </c>
      <c r="E232" s="76" t="n"/>
      <c r="F232" s="68">
        <f>E232+D232</f>
        <v/>
      </c>
      <c r="G232" s="69">
        <f>F232</f>
        <v/>
      </c>
      <c r="H232" s="195" t="n">
        <v>45092</v>
      </c>
      <c r="I232" s="165" t="inlineStr">
        <is>
          <t>PIX</t>
        </is>
      </c>
      <c r="J232" s="79" t="n"/>
      <c r="K232" s="165" t="n"/>
      <c r="L232" s="236" t="n"/>
      <c r="M232" s="236" t="n"/>
      <c r="N232" s="236" t="n"/>
      <c r="O232" s="236" t="n"/>
      <c r="P232" s="236" t="n"/>
    </row>
    <row r="233">
      <c r="A233" s="236" t="inlineStr">
        <is>
          <t>As Apaixonadas</t>
        </is>
      </c>
      <c r="B233" s="165" t="n">
        <v>1</v>
      </c>
      <c r="C233" s="68" t="n">
        <v>70</v>
      </c>
      <c r="D233" s="68">
        <f>C233*B233</f>
        <v/>
      </c>
      <c r="E233" s="117" t="n"/>
      <c r="F233" s="68">
        <f>E233+D233+D234</f>
        <v/>
      </c>
      <c r="G233" s="69">
        <f>F233</f>
        <v/>
      </c>
      <c r="H233" s="195" t="n">
        <v>45092</v>
      </c>
      <c r="I233" s="165" t="inlineStr">
        <is>
          <t>PIX</t>
        </is>
      </c>
      <c r="J233" s="79" t="n"/>
      <c r="K233" s="165" t="n"/>
      <c r="L233" s="236" t="n"/>
      <c r="M233" s="236" t="n"/>
      <c r="N233" s="236" t="n"/>
      <c r="O233" s="236" t="n"/>
      <c r="P233" s="236" t="n"/>
    </row>
    <row r="234">
      <c r="A234" s="236" t="inlineStr">
        <is>
          <t>O campo uniano</t>
        </is>
      </c>
      <c r="B234" s="165" t="n">
        <v>1</v>
      </c>
      <c r="C234" s="68" t="n">
        <v>120</v>
      </c>
      <c r="D234" s="68">
        <f>C234*B234</f>
        <v/>
      </c>
      <c r="E234" s="340" t="n"/>
      <c r="F234" s="340" t="n"/>
      <c r="G234" s="340" t="n"/>
      <c r="H234" s="340" t="n"/>
      <c r="I234" s="340" t="n"/>
      <c r="J234" s="340" t="n"/>
      <c r="K234" s="340" t="n"/>
      <c r="L234" s="236" t="n"/>
      <c r="M234" s="236" t="n"/>
      <c r="N234" s="236" t="n"/>
      <c r="O234" s="236" t="n"/>
      <c r="P234" s="236" t="n"/>
    </row>
    <row r="235">
      <c r="A235" s="236" t="inlineStr">
        <is>
          <t>As Apaixonadas</t>
        </is>
      </c>
      <c r="B235" s="165" t="n">
        <v>1</v>
      </c>
      <c r="C235" s="68" t="n">
        <v>70</v>
      </c>
      <c r="D235" s="68">
        <f>C235*B235</f>
        <v/>
      </c>
      <c r="E235" s="76" t="n">
        <v>15</v>
      </c>
      <c r="F235" s="68">
        <f>E235+D235</f>
        <v/>
      </c>
      <c r="G235" s="69">
        <f>F235</f>
        <v/>
      </c>
      <c r="H235" s="195" t="n">
        <v>45092</v>
      </c>
      <c r="I235" s="165" t="inlineStr">
        <is>
          <t>PIX</t>
        </is>
      </c>
      <c r="J235" s="79" t="n"/>
      <c r="K235" s="165" t="n"/>
      <c r="L235" s="236" t="n"/>
      <c r="M235" s="236" t="n"/>
      <c r="N235" s="236" t="n"/>
      <c r="O235" s="236" t="n"/>
      <c r="P235" s="236" t="n"/>
    </row>
    <row r="236">
      <c r="A236" s="236" t="inlineStr">
        <is>
          <t>O campo uniano</t>
        </is>
      </c>
      <c r="B236" s="165" t="n">
        <v>1</v>
      </c>
      <c r="C236" s="68" t="n">
        <v>120</v>
      </c>
      <c r="D236" s="68">
        <f>C236*B236</f>
        <v/>
      </c>
      <c r="E236" s="76" t="n"/>
      <c r="F236" s="68">
        <f>E236+D236</f>
        <v/>
      </c>
      <c r="G236" s="69">
        <f>F236</f>
        <v/>
      </c>
      <c r="H236" s="195" t="n">
        <v>45092</v>
      </c>
      <c r="I236" s="165" t="inlineStr">
        <is>
          <t>PIX</t>
        </is>
      </c>
      <c r="J236" s="79" t="n"/>
      <c r="K236" s="165" t="n"/>
      <c r="L236" s="236" t="n"/>
      <c r="M236" s="236" t="n"/>
      <c r="N236" s="236" t="n"/>
      <c r="O236" s="236" t="n"/>
      <c r="P236" s="236" t="n"/>
    </row>
    <row r="237">
      <c r="A237" s="236" t="inlineStr">
        <is>
          <t>As Apaixonadas</t>
        </is>
      </c>
      <c r="B237" s="165" t="n">
        <v>1</v>
      </c>
      <c r="C237" s="68" t="n">
        <v>70</v>
      </c>
      <c r="D237" s="68">
        <f>C237*B237</f>
        <v/>
      </c>
      <c r="E237" s="76" t="n"/>
      <c r="F237" s="68">
        <f>E237+D237</f>
        <v/>
      </c>
      <c r="G237" s="69">
        <f>F237</f>
        <v/>
      </c>
      <c r="H237" s="195" t="n">
        <v>45092</v>
      </c>
      <c r="I237" s="165" t="inlineStr">
        <is>
          <t>PIX</t>
        </is>
      </c>
      <c r="J237" s="79" t="n"/>
      <c r="K237" s="165" t="n"/>
      <c r="L237" s="236" t="n"/>
      <c r="M237" s="236" t="n"/>
      <c r="N237" s="236" t="n"/>
      <c r="O237" s="236" t="n"/>
      <c r="P237" s="236" t="n"/>
    </row>
    <row r="238">
      <c r="A238" s="236" t="inlineStr">
        <is>
          <t>As Apaixonadas</t>
        </is>
      </c>
      <c r="B238" s="165" t="n">
        <v>2</v>
      </c>
      <c r="C238" s="68" t="n">
        <v>70</v>
      </c>
      <c r="D238" s="68">
        <f>C238*B238</f>
        <v/>
      </c>
      <c r="E238" s="76" t="n"/>
      <c r="F238" s="68">
        <f>E238+D238</f>
        <v/>
      </c>
      <c r="G238" s="69">
        <f>F238</f>
        <v/>
      </c>
      <c r="H238" s="195" t="n">
        <v>45092</v>
      </c>
      <c r="I238" s="165" t="inlineStr">
        <is>
          <t>PIX</t>
        </is>
      </c>
      <c r="J238" s="79" t="n"/>
      <c r="K238" s="165" t="n"/>
      <c r="L238" s="236" t="n"/>
      <c r="M238" s="236" t="n"/>
      <c r="N238" s="236" t="n"/>
      <c r="O238" s="236" t="n"/>
      <c r="P238" s="236" t="n"/>
    </row>
    <row r="239">
      <c r="A239" s="236" t="inlineStr">
        <is>
          <t>La Madre</t>
        </is>
      </c>
      <c r="B239" s="165" t="n">
        <v>1</v>
      </c>
      <c r="C239" s="68" t="n">
        <v>75</v>
      </c>
      <c r="D239" s="68">
        <f>C239*B239</f>
        <v/>
      </c>
      <c r="E239" s="117" t="n"/>
      <c r="F239" s="68">
        <f>E239+D239+D240</f>
        <v/>
      </c>
      <c r="G239" s="69">
        <f>F239</f>
        <v/>
      </c>
      <c r="H239" s="195" t="n">
        <v>45094</v>
      </c>
      <c r="I239" s="165" t="inlineStr">
        <is>
          <t>PIX</t>
        </is>
      </c>
      <c r="J239" s="79" t="n"/>
      <c r="K239" s="165" t="n"/>
      <c r="L239" s="236" t="n"/>
      <c r="M239" s="236" t="n"/>
      <c r="N239" s="236" t="n"/>
      <c r="O239" s="236" t="n"/>
      <c r="P239" s="236" t="n"/>
    </row>
    <row r="240">
      <c r="A240" s="236" t="inlineStr">
        <is>
          <t>As Apaixonadas</t>
        </is>
      </c>
      <c r="B240" s="165" t="n">
        <v>1</v>
      </c>
      <c r="C240" s="68" t="n">
        <v>70</v>
      </c>
      <c r="D240" s="68">
        <f>C240*B240</f>
        <v/>
      </c>
      <c r="E240" s="340" t="n"/>
      <c r="F240" s="340" t="n"/>
      <c r="G240" s="340" t="n"/>
      <c r="H240" s="340" t="n"/>
      <c r="I240" s="340" t="n"/>
      <c r="J240" s="340" t="n"/>
      <c r="K240" s="340" t="n"/>
      <c r="L240" s="236" t="n"/>
      <c r="M240" s="236" t="n"/>
      <c r="N240" s="236" t="n"/>
      <c r="O240" s="236" t="n"/>
      <c r="P240" s="236" t="n"/>
    </row>
    <row r="241">
      <c r="A241" s="236" t="inlineStr">
        <is>
          <t>O campo uniano</t>
        </is>
      </c>
      <c r="B241" s="165" t="n">
        <v>1</v>
      </c>
      <c r="C241" s="68" t="n">
        <v>120</v>
      </c>
      <c r="D241" s="68">
        <f>C241*B241</f>
        <v/>
      </c>
      <c r="E241" s="90" t="n"/>
      <c r="F241" s="68">
        <f>E241+D241</f>
        <v/>
      </c>
      <c r="G241" s="69">
        <f>F241</f>
        <v/>
      </c>
      <c r="H241" s="190" t="n">
        <v>45096</v>
      </c>
      <c r="I241" s="94" t="inlineStr">
        <is>
          <t>PIX</t>
        </is>
      </c>
      <c r="J241" s="93" t="n"/>
      <c r="K241" s="94" t="n"/>
      <c r="L241" s="236" t="n"/>
      <c r="M241" s="236" t="n"/>
      <c r="N241" s="236" t="n"/>
      <c r="O241" s="236" t="n"/>
      <c r="P241" s="236" t="n"/>
    </row>
    <row r="242">
      <c r="A242" s="236" t="inlineStr">
        <is>
          <t>A Supervisão (controle) Na Formação Do Psicanalista</t>
        </is>
      </c>
      <c r="B242" s="165" t="n">
        <v>1</v>
      </c>
      <c r="C242" s="68" t="n">
        <v>60</v>
      </c>
      <c r="D242" s="68">
        <f>C242*B242</f>
        <v/>
      </c>
      <c r="E242" s="76" t="n">
        <v>15</v>
      </c>
      <c r="F242" s="68">
        <f>E242+D242</f>
        <v/>
      </c>
      <c r="G242" s="69">
        <f>F242</f>
        <v/>
      </c>
      <c r="H242" s="195" t="n">
        <v>45112</v>
      </c>
      <c r="I242" s="236" t="inlineStr">
        <is>
          <t>PIX</t>
        </is>
      </c>
      <c r="J242" s="236" t="n"/>
      <c r="K242" s="236" t="n"/>
      <c r="L242" s="236" t="n"/>
      <c r="M242" s="236" t="n"/>
      <c r="N242" s="236" t="n"/>
      <c r="O242" s="236" t="n"/>
      <c r="P242" s="236" t="n"/>
    </row>
    <row r="243">
      <c r="A243" s="236" t="inlineStr">
        <is>
          <t>Neurologia versus Psicoanálisis</t>
        </is>
      </c>
      <c r="B243" s="165" t="n">
        <v>1</v>
      </c>
      <c r="C243" s="68" t="n">
        <v>90</v>
      </c>
      <c r="D243" s="68">
        <f>C243*B243</f>
        <v/>
      </c>
      <c r="E243" s="76" t="n">
        <v>13.5</v>
      </c>
      <c r="F243" s="68">
        <f>E243+D243</f>
        <v/>
      </c>
      <c r="G243" s="69">
        <f>F243</f>
        <v/>
      </c>
      <c r="H243" s="195" t="n">
        <v>45112</v>
      </c>
      <c r="I243" s="236" t="inlineStr">
        <is>
          <t>PIX</t>
        </is>
      </c>
      <c r="J243" s="236" t="n"/>
      <c r="K243" s="236" t="n"/>
      <c r="L243" s="236" t="n"/>
      <c r="M243" s="236" t="n"/>
      <c r="N243" s="236" t="n"/>
      <c r="O243" s="236" t="n"/>
      <c r="P243" s="236" t="n"/>
    </row>
    <row r="244">
      <c r="A244" s="236" t="inlineStr">
        <is>
          <t>A Supervisão (controle) Na Formação Do Psicanalista</t>
        </is>
      </c>
      <c r="B244" s="165" t="n">
        <v>1</v>
      </c>
      <c r="C244" s="68" t="n">
        <v>60</v>
      </c>
      <c r="D244" s="68">
        <f>C244*B244</f>
        <v/>
      </c>
      <c r="E244" s="76" t="n">
        <v>15</v>
      </c>
      <c r="F244" s="68">
        <f>E244+D244</f>
        <v/>
      </c>
      <c r="G244" s="69">
        <f>F244</f>
        <v/>
      </c>
      <c r="H244" s="195" t="n">
        <v>45113</v>
      </c>
      <c r="I244" s="236" t="inlineStr">
        <is>
          <t>PIX</t>
        </is>
      </c>
      <c r="J244" s="236" t="n"/>
      <c r="K244" s="236" t="n"/>
      <c r="L244" s="236" t="n"/>
      <c r="M244" s="236" t="n"/>
      <c r="N244" s="236" t="n"/>
      <c r="O244" s="236" t="n"/>
      <c r="P244" s="236" t="n"/>
    </row>
    <row r="245">
      <c r="A245" s="236" t="inlineStr">
        <is>
          <t>La Madre</t>
        </is>
      </c>
      <c r="B245" s="165" t="n">
        <v>1</v>
      </c>
      <c r="C245" s="68" t="n">
        <v>75</v>
      </c>
      <c r="D245" s="68">
        <f>C245*B245</f>
        <v/>
      </c>
      <c r="E245" s="117" t="n"/>
      <c r="F245" s="68">
        <f>E245+D245+D246+D247</f>
        <v/>
      </c>
      <c r="G245" s="69">
        <f>F245</f>
        <v/>
      </c>
      <c r="H245" s="195" t="n">
        <v>45119</v>
      </c>
      <c r="I245" s="165" t="inlineStr">
        <is>
          <t>PIX</t>
        </is>
      </c>
      <c r="J245" s="165" t="n"/>
      <c r="K245" s="165" t="n"/>
      <c r="L245" s="236" t="n"/>
      <c r="M245" s="236" t="n"/>
      <c r="N245" s="236" t="n"/>
      <c r="O245" s="236" t="n"/>
      <c r="P245" s="236" t="n"/>
    </row>
    <row r="246">
      <c r="A246" s="236" t="inlineStr">
        <is>
          <t>Intervención sobre el nombre del padre</t>
        </is>
      </c>
      <c r="B246" s="165" t="n">
        <v>1</v>
      </c>
      <c r="C246" s="68" t="n">
        <v>75</v>
      </c>
      <c r="D246" s="68">
        <f>C246*B246</f>
        <v/>
      </c>
      <c r="E246" s="343" t="n"/>
      <c r="F246" s="343" t="n"/>
      <c r="G246" s="343" t="n"/>
      <c r="H246" s="343" t="n"/>
      <c r="I246" s="343" t="n"/>
      <c r="J246" s="343" t="n"/>
      <c r="K246" s="343" t="n"/>
      <c r="L246" s="236" t="n"/>
      <c r="M246" s="236" t="n"/>
      <c r="N246" s="236" t="n"/>
      <c r="O246" s="236" t="n"/>
      <c r="P246" s="236" t="n"/>
    </row>
    <row r="247">
      <c r="A247" s="236" t="inlineStr">
        <is>
          <t>La Mirada De Las Imágenes</t>
        </is>
      </c>
      <c r="B247" s="165" t="n">
        <v>1</v>
      </c>
      <c r="C247" s="68" t="n">
        <v>80</v>
      </c>
      <c r="D247" s="68">
        <f>C247*B247</f>
        <v/>
      </c>
      <c r="E247" s="340" t="n"/>
      <c r="F247" s="340" t="n"/>
      <c r="G247" s="340" t="n"/>
      <c r="H247" s="340" t="n"/>
      <c r="I247" s="340" t="n"/>
      <c r="J247" s="340" t="n"/>
      <c r="K247" s="340" t="n"/>
      <c r="L247" s="236" t="n"/>
      <c r="M247" s="236" t="n"/>
      <c r="N247" s="236" t="n"/>
      <c r="O247" s="236" t="n"/>
      <c r="P247" s="236" t="n"/>
    </row>
    <row r="248">
      <c r="A248" s="236" t="inlineStr">
        <is>
          <t>As Apaixonadas</t>
        </is>
      </c>
      <c r="B248" s="165" t="n">
        <v>1</v>
      </c>
      <c r="C248" s="68" t="n">
        <v>50</v>
      </c>
      <c r="D248" s="68">
        <f>C248*B248</f>
        <v/>
      </c>
      <c r="E248" s="76" t="n"/>
      <c r="F248" s="68">
        <f>E248+D248</f>
        <v/>
      </c>
      <c r="G248" s="69">
        <f>F248</f>
        <v/>
      </c>
      <c r="H248" s="195" t="n">
        <v>45119</v>
      </c>
      <c r="I248" s="236" t="inlineStr">
        <is>
          <t>PIX</t>
        </is>
      </c>
      <c r="J248" s="236" t="n"/>
      <c r="K248" s="236" t="n"/>
      <c r="L248" s="236" t="n"/>
      <c r="M248" s="236" t="n"/>
      <c r="N248" s="236" t="n"/>
      <c r="O248" s="236" t="n"/>
      <c r="P248" s="236" t="n"/>
    </row>
    <row r="249">
      <c r="A249" s="236" t="inlineStr">
        <is>
          <t>Cómo comienzan y finalizan los análisis</t>
        </is>
      </c>
      <c r="B249" s="165" t="n">
        <v>1</v>
      </c>
      <c r="C249" s="68" t="n">
        <v>75</v>
      </c>
      <c r="D249" s="68">
        <f>C249*B249</f>
        <v/>
      </c>
      <c r="E249" s="76" t="n"/>
      <c r="F249" s="68">
        <f>E249+D249</f>
        <v/>
      </c>
      <c r="G249" s="69">
        <f>F249</f>
        <v/>
      </c>
      <c r="H249" s="195" t="n">
        <v>45120</v>
      </c>
      <c r="I249" s="236" t="inlineStr">
        <is>
          <t>PIX</t>
        </is>
      </c>
      <c r="J249" s="236" t="n"/>
      <c r="K249" s="236" t="n"/>
      <c r="L249" s="236" t="n"/>
      <c r="M249" s="236" t="n"/>
      <c r="N249" s="236" t="n"/>
      <c r="O249" s="236" t="n"/>
      <c r="P249" s="236" t="n"/>
    </row>
    <row r="250">
      <c r="A250" s="236" t="inlineStr">
        <is>
          <t>Fundamentos da prática Lacaniana</t>
        </is>
      </c>
      <c r="B250" s="165" t="n">
        <v>1</v>
      </c>
      <c r="C250" s="68" t="n">
        <v>50</v>
      </c>
      <c r="D250" s="68">
        <f>C250*B250</f>
        <v/>
      </c>
      <c r="E250" s="109" t="n"/>
      <c r="F250" s="180">
        <f>E250+D250</f>
        <v/>
      </c>
      <c r="G250" s="82">
        <f>F250</f>
        <v/>
      </c>
      <c r="H250" s="188" t="n">
        <v>45120</v>
      </c>
      <c r="I250" s="111" t="inlineStr">
        <is>
          <t>PIX</t>
        </is>
      </c>
      <c r="J250" s="111" t="n"/>
      <c r="K250" s="111" t="n"/>
      <c r="L250" s="236" t="n"/>
      <c r="M250" s="236" t="n"/>
      <c r="N250" s="236" t="n"/>
      <c r="O250" s="236" t="n"/>
      <c r="P250" s="236" t="n"/>
    </row>
    <row r="251">
      <c r="A251" s="236" t="inlineStr">
        <is>
          <t>As Apaixonadas</t>
        </is>
      </c>
      <c r="B251" s="165" t="n">
        <v>1</v>
      </c>
      <c r="C251" s="68" t="n">
        <v>70</v>
      </c>
      <c r="D251" s="68">
        <f>C251*B251</f>
        <v/>
      </c>
      <c r="E251" s="117" t="n"/>
      <c r="F251" s="68">
        <f>E251+D251+D252</f>
        <v/>
      </c>
      <c r="G251" s="69">
        <f>F251</f>
        <v/>
      </c>
      <c r="H251" s="195" t="n">
        <v>45121</v>
      </c>
      <c r="I251" s="165" t="inlineStr">
        <is>
          <t>PIX</t>
        </is>
      </c>
      <c r="J251" s="165" t="n"/>
      <c r="K251" s="165" t="n"/>
      <c r="L251" s="236" t="n"/>
      <c r="M251" s="236" t="n"/>
      <c r="N251" s="236" t="n"/>
      <c r="O251" s="236" t="n"/>
      <c r="P251" s="236" t="n"/>
    </row>
    <row r="252">
      <c r="A252" s="236" t="inlineStr">
        <is>
          <t>Matrimonio</t>
        </is>
      </c>
      <c r="B252" s="165" t="n">
        <v>1</v>
      </c>
      <c r="C252" s="68" t="n">
        <v>70</v>
      </c>
      <c r="D252" s="68">
        <f>C252*B252</f>
        <v/>
      </c>
      <c r="E252" s="340" t="n"/>
      <c r="F252" s="340" t="n"/>
      <c r="G252" s="340" t="n"/>
      <c r="H252" s="340" t="n"/>
      <c r="I252" s="340" t="n"/>
      <c r="J252" s="340" t="n"/>
      <c r="K252" s="340" t="n"/>
      <c r="L252" s="236" t="n"/>
      <c r="M252" s="236" t="n"/>
      <c r="N252" s="236" t="n"/>
      <c r="O252" s="236" t="n"/>
      <c r="P252" s="236" t="n"/>
    </row>
    <row r="253">
      <c r="A253" s="236" t="inlineStr">
        <is>
          <t>O que esse menino tem?</t>
        </is>
      </c>
      <c r="B253" s="165" t="n">
        <v>1</v>
      </c>
      <c r="C253" s="68" t="n">
        <v>45</v>
      </c>
      <c r="D253" s="68">
        <f>C253*B253</f>
        <v/>
      </c>
      <c r="E253" s="76" t="n">
        <v>12.3</v>
      </c>
      <c r="F253" s="68">
        <f>E253+D253</f>
        <v/>
      </c>
      <c r="G253" s="69">
        <f>F253</f>
        <v/>
      </c>
      <c r="H253" s="195" t="n">
        <v>45121</v>
      </c>
      <c r="I253" s="236" t="inlineStr">
        <is>
          <t>PIX</t>
        </is>
      </c>
      <c r="J253" s="236" t="n"/>
      <c r="K253" s="236" t="n"/>
      <c r="L253" s="236" t="n"/>
      <c r="M253" s="236" t="n"/>
      <c r="N253" s="236" t="n"/>
      <c r="O253" s="236" t="n"/>
      <c r="P253" s="236" t="n"/>
    </row>
    <row r="254">
      <c r="A254" s="236" t="inlineStr">
        <is>
          <t>Clinica Lacaniana da psicose</t>
        </is>
      </c>
      <c r="B254" s="165" t="n">
        <v>1</v>
      </c>
      <c r="C254" s="68" t="n">
        <v>0</v>
      </c>
      <c r="D254" s="68">
        <f>C254*B254</f>
        <v/>
      </c>
      <c r="E254" s="76" t="n"/>
      <c r="F254" s="68">
        <f>E254+D254</f>
        <v/>
      </c>
      <c r="G254" s="69">
        <f>F254</f>
        <v/>
      </c>
      <c r="H254" s="195" t="n">
        <v>45121</v>
      </c>
      <c r="I254" s="236" t="inlineStr">
        <is>
          <t>PIX</t>
        </is>
      </c>
      <c r="J254" s="236" t="n"/>
      <c r="K254" s="236" t="n"/>
      <c r="L254" s="236" t="n"/>
      <c r="M254" s="236" t="n"/>
      <c r="N254" s="236" t="n"/>
      <c r="O254" s="236" t="n"/>
      <c r="P254" s="236" t="n"/>
    </row>
    <row r="255">
      <c r="A255" s="236" t="inlineStr">
        <is>
          <t>Las Islas</t>
        </is>
      </c>
      <c r="B255" s="165" t="n">
        <v>1</v>
      </c>
      <c r="C255" s="68" t="n">
        <v>75</v>
      </c>
      <c r="D255" s="68">
        <f>C255*B255</f>
        <v/>
      </c>
      <c r="E255" s="117" t="n"/>
      <c r="F255" s="68">
        <f>E255+D255+D256+D257</f>
        <v/>
      </c>
      <c r="G255" s="69">
        <f>F255</f>
        <v/>
      </c>
      <c r="H255" s="195" t="n">
        <v>45121</v>
      </c>
      <c r="I255" s="165" t="inlineStr">
        <is>
          <t>PIX</t>
        </is>
      </c>
      <c r="J255" s="165" t="n"/>
      <c r="K255" s="165" t="n"/>
      <c r="L255" s="236" t="n"/>
      <c r="M255" s="236" t="n"/>
      <c r="N255" s="236" t="n"/>
      <c r="O255" s="236" t="n"/>
      <c r="P255" s="236" t="n"/>
    </row>
    <row r="256">
      <c r="A256" s="236" t="inlineStr">
        <is>
          <t>La Madre</t>
        </is>
      </c>
      <c r="B256" s="165" t="n">
        <v>1</v>
      </c>
      <c r="C256" s="68" t="n">
        <v>75</v>
      </c>
      <c r="D256" s="68">
        <f>C256*B256</f>
        <v/>
      </c>
      <c r="E256" s="343" t="n"/>
      <c r="F256" s="343" t="n"/>
      <c r="G256" s="343" t="n"/>
      <c r="H256" s="343" t="n"/>
      <c r="I256" s="343" t="n"/>
      <c r="J256" s="343" t="n"/>
      <c r="K256" s="343" t="n"/>
      <c r="L256" s="236" t="n"/>
      <c r="M256" s="236" t="n"/>
      <c r="N256" s="236" t="n"/>
      <c r="O256" s="236" t="n"/>
      <c r="P256" s="236" t="n"/>
    </row>
    <row r="257">
      <c r="A257" s="236" t="inlineStr">
        <is>
          <t>La condición Perversa</t>
        </is>
      </c>
      <c r="B257" s="165" t="n">
        <v>1</v>
      </c>
      <c r="C257" s="68" t="n">
        <v>80</v>
      </c>
      <c r="D257" s="68">
        <f>C257*B257</f>
        <v/>
      </c>
      <c r="E257" s="340" t="n"/>
      <c r="F257" s="340" t="n"/>
      <c r="G257" s="340" t="n"/>
      <c r="H257" s="340" t="n"/>
      <c r="I257" s="340" t="n"/>
      <c r="J257" s="340" t="n"/>
      <c r="K257" s="340" t="n"/>
      <c r="L257" s="236" t="n"/>
      <c r="M257" s="236" t="n"/>
      <c r="N257" s="236" t="n"/>
      <c r="O257" s="236" t="n"/>
      <c r="P257" s="236" t="n"/>
    </row>
    <row r="258">
      <c r="A258" s="236" t="inlineStr">
        <is>
          <t>O que esse menino tem?</t>
        </is>
      </c>
      <c r="B258" s="165" t="n">
        <v>1</v>
      </c>
      <c r="C258" s="68" t="n">
        <v>45</v>
      </c>
      <c r="D258" s="68">
        <f>C258*B258</f>
        <v/>
      </c>
      <c r="E258" s="76" t="n">
        <v>12.3</v>
      </c>
      <c r="F258" s="68">
        <f>E258+D258</f>
        <v/>
      </c>
      <c r="G258" s="69">
        <f>F258</f>
        <v/>
      </c>
      <c r="H258" s="195" t="n">
        <v>45121</v>
      </c>
      <c r="I258" s="236" t="inlineStr">
        <is>
          <t>PIX</t>
        </is>
      </c>
      <c r="J258" s="236" t="n"/>
      <c r="K258" s="236" t="n"/>
      <c r="L258" s="236" t="n"/>
      <c r="M258" s="236" t="n"/>
      <c r="N258" s="236" t="n"/>
      <c r="O258" s="236" t="n"/>
      <c r="P258" s="236" t="n"/>
    </row>
    <row r="259">
      <c r="A259" s="236" t="inlineStr">
        <is>
          <t>O que esse menino tem?</t>
        </is>
      </c>
      <c r="B259" s="165" t="n">
        <v>1</v>
      </c>
      <c r="C259" s="68" t="n">
        <v>45</v>
      </c>
      <c r="D259" s="68">
        <f>C259*B259</f>
        <v/>
      </c>
      <c r="E259" s="76" t="n">
        <v>12.3</v>
      </c>
      <c r="F259" s="68">
        <f>E259+D259</f>
        <v/>
      </c>
      <c r="G259" s="69">
        <f>F259</f>
        <v/>
      </c>
      <c r="H259" s="195" t="n">
        <v>45121</v>
      </c>
      <c r="I259" s="236" t="inlineStr">
        <is>
          <t>PIX</t>
        </is>
      </c>
      <c r="J259" s="236" t="n"/>
      <c r="K259" s="236" t="n"/>
      <c r="L259" s="236" t="n"/>
      <c r="M259" s="236" t="n"/>
      <c r="N259" s="236" t="n"/>
      <c r="O259" s="236" t="n"/>
      <c r="P259" s="236" t="n"/>
    </row>
    <row r="260">
      <c r="A260" s="236" t="inlineStr">
        <is>
          <t>Agente 20</t>
        </is>
      </c>
      <c r="B260" s="165" t="n">
        <v>1</v>
      </c>
      <c r="C260" s="68" t="n">
        <v>70</v>
      </c>
      <c r="D260" s="68">
        <f>C260*B260</f>
        <v/>
      </c>
      <c r="E260" s="76" t="n"/>
      <c r="F260" s="68">
        <f>E260+D260</f>
        <v/>
      </c>
      <c r="G260" s="69">
        <f>F260</f>
        <v/>
      </c>
      <c r="H260" s="195" t="n">
        <v>45122</v>
      </c>
      <c r="I260" s="236" t="inlineStr">
        <is>
          <t>PIX</t>
        </is>
      </c>
      <c r="J260" s="236" t="n"/>
      <c r="K260" s="236" t="n"/>
      <c r="L260" s="236" t="n"/>
      <c r="M260" s="236" t="n"/>
      <c r="N260" s="236" t="n"/>
      <c r="O260" s="236" t="n"/>
      <c r="P260" s="236" t="n"/>
    </row>
    <row r="261">
      <c r="A261" s="236" t="inlineStr">
        <is>
          <t>Lacan e a Solução Elegante Na Psicose</t>
        </is>
      </c>
      <c r="B261" s="165" t="n">
        <v>1</v>
      </c>
      <c r="C261" s="68" t="n">
        <v>65</v>
      </c>
      <c r="D261" s="68">
        <f>C261*B261</f>
        <v/>
      </c>
      <c r="E261" s="117" t="n"/>
      <c r="F261" s="68">
        <f>E261+D261+D262+D263</f>
        <v/>
      </c>
      <c r="G261" s="69">
        <f>F261</f>
        <v/>
      </c>
      <c r="H261" s="195" t="n">
        <v>45122</v>
      </c>
      <c r="I261" s="165" t="inlineStr">
        <is>
          <t>PIX</t>
        </is>
      </c>
      <c r="J261" s="165" t="n"/>
      <c r="K261" s="165" t="n"/>
      <c r="L261" s="236" t="n"/>
      <c r="M261" s="236" t="n"/>
      <c r="N261" s="236" t="n"/>
      <c r="O261" s="236" t="n"/>
      <c r="P261" s="236" t="n"/>
    </row>
    <row r="262">
      <c r="A262" s="236" t="inlineStr">
        <is>
          <t>Desarraigados</t>
        </is>
      </c>
      <c r="B262" s="165" t="n">
        <v>1</v>
      </c>
      <c r="C262" s="68" t="n">
        <v>160</v>
      </c>
      <c r="D262" s="68">
        <f>C262*B262</f>
        <v/>
      </c>
      <c r="E262" s="343" t="n"/>
      <c r="F262" s="343" t="n"/>
      <c r="G262" s="343" t="n"/>
      <c r="H262" s="343" t="n"/>
      <c r="I262" s="343" t="n"/>
      <c r="J262" s="343" t="n"/>
      <c r="K262" s="343" t="n"/>
      <c r="L262" s="236" t="n"/>
      <c r="M262" s="236" t="n"/>
      <c r="N262" s="236" t="n"/>
      <c r="O262" s="236" t="n"/>
      <c r="P262" s="236" t="n"/>
    </row>
    <row r="263">
      <c r="A263" s="236" t="inlineStr">
        <is>
          <t>Agente 20</t>
        </is>
      </c>
      <c r="B263" s="165" t="n">
        <v>1</v>
      </c>
      <c r="C263" s="68" t="n">
        <v>70</v>
      </c>
      <c r="D263" s="68">
        <f>C263*B263</f>
        <v/>
      </c>
      <c r="E263" s="340" t="n"/>
      <c r="F263" s="340" t="n"/>
      <c r="G263" s="340" t="n"/>
      <c r="H263" s="340" t="n"/>
      <c r="I263" s="340" t="n"/>
      <c r="J263" s="340" t="n"/>
      <c r="K263" s="340" t="n"/>
      <c r="L263" s="236" t="n"/>
      <c r="M263" s="236" t="n"/>
      <c r="N263" s="236" t="n"/>
      <c r="O263" s="236" t="n"/>
      <c r="P263" s="236" t="n"/>
    </row>
    <row r="264">
      <c r="A264" s="236" t="inlineStr">
        <is>
          <t>La condición Perversa</t>
        </is>
      </c>
      <c r="B264" s="165" t="n">
        <v>1</v>
      </c>
      <c r="C264" s="68" t="n">
        <v>80</v>
      </c>
      <c r="D264" s="68">
        <f>C264*B264</f>
        <v/>
      </c>
      <c r="E264" s="117" t="n"/>
      <c r="F264" s="68">
        <f>E264+D264+D265</f>
        <v/>
      </c>
      <c r="G264" s="69">
        <f>F264</f>
        <v/>
      </c>
      <c r="H264" s="195" t="n">
        <v>45122</v>
      </c>
      <c r="I264" s="165" t="inlineStr">
        <is>
          <t>PIX</t>
        </is>
      </c>
      <c r="J264" s="165" t="n"/>
      <c r="K264" s="165" t="n"/>
      <c r="L264" s="236" t="n"/>
      <c r="M264" s="236" t="n"/>
      <c r="N264" s="236" t="n"/>
      <c r="O264" s="236" t="n"/>
      <c r="P264" s="236" t="n"/>
    </row>
    <row r="265">
      <c r="A265" s="236" t="inlineStr">
        <is>
          <t>As Apaixonadas</t>
        </is>
      </c>
      <c r="B265" s="165" t="n">
        <v>1</v>
      </c>
      <c r="C265" s="68" t="n">
        <v>70</v>
      </c>
      <c r="D265" s="68">
        <f>C265*B265</f>
        <v/>
      </c>
      <c r="E265" s="340" t="n"/>
      <c r="F265" s="340" t="n"/>
      <c r="G265" s="340" t="n"/>
      <c r="H265" s="340" t="n"/>
      <c r="I265" s="340" t="n"/>
      <c r="J265" s="340" t="n"/>
      <c r="K265" s="340" t="n"/>
      <c r="L265" s="236" t="n"/>
      <c r="M265" s="236" t="n"/>
      <c r="N265" s="236" t="n"/>
      <c r="O265" s="236" t="n"/>
      <c r="P265" s="236" t="n"/>
    </row>
    <row r="266">
      <c r="A266" s="236" t="inlineStr">
        <is>
          <t>Incidencias clínicas de la carencia paterna</t>
        </is>
      </c>
      <c r="B266" s="165" t="n">
        <v>1</v>
      </c>
      <c r="C266" s="68" t="n">
        <v>85</v>
      </c>
      <c r="D266" s="68">
        <f>C266*B266</f>
        <v/>
      </c>
      <c r="E266" s="90" t="n"/>
      <c r="F266" s="68">
        <f>E266+D266</f>
        <v/>
      </c>
      <c r="G266" s="69">
        <f>F266</f>
        <v/>
      </c>
      <c r="H266" s="190" t="n">
        <v>45122</v>
      </c>
      <c r="I266" s="94" t="inlineStr">
        <is>
          <t>PIX</t>
        </is>
      </c>
      <c r="J266" s="94" t="n"/>
      <c r="K266" s="94" t="n"/>
      <c r="L266" s="236" t="n"/>
      <c r="M266" s="236" t="n"/>
      <c r="N266" s="236" t="n"/>
      <c r="O266" s="236" t="n"/>
      <c r="P266" s="236" t="n"/>
    </row>
    <row r="267">
      <c r="A267" s="236" t="inlineStr">
        <is>
          <t>La madre</t>
        </is>
      </c>
      <c r="B267" s="165" t="n">
        <v>1</v>
      </c>
      <c r="C267" s="68" t="n">
        <v>75</v>
      </c>
      <c r="D267" s="68">
        <f>C267*B267</f>
        <v/>
      </c>
      <c r="E267" s="90" t="n"/>
      <c r="F267" s="68">
        <f>E267+D267</f>
        <v/>
      </c>
      <c r="G267" s="69">
        <f>F267</f>
        <v/>
      </c>
      <c r="H267" s="190" t="n">
        <v>45122</v>
      </c>
      <c r="I267" s="94" t="inlineStr">
        <is>
          <t>PIX</t>
        </is>
      </c>
      <c r="J267" s="94" t="n"/>
      <c r="K267" s="94" t="n"/>
      <c r="L267" s="236" t="n"/>
      <c r="M267" s="236" t="n"/>
      <c r="N267" s="236" t="n"/>
      <c r="O267" s="236" t="n"/>
      <c r="P267" s="236" t="n"/>
    </row>
    <row r="268">
      <c r="A268" s="236" t="inlineStr">
        <is>
          <t>Carta a Bernard Accoyer</t>
        </is>
      </c>
      <c r="B268" s="165" t="n">
        <v>1</v>
      </c>
      <c r="C268" s="68" t="n">
        <v>35</v>
      </c>
      <c r="D268" s="68">
        <f>C268*B268</f>
        <v/>
      </c>
      <c r="E268" s="117" t="n">
        <v>17.5</v>
      </c>
      <c r="F268" s="68">
        <f>E268+D268+D269+D270</f>
        <v/>
      </c>
      <c r="G268" s="69">
        <f>F268</f>
        <v/>
      </c>
      <c r="H268" s="195" t="n">
        <v>45124</v>
      </c>
      <c r="I268" s="165" t="inlineStr">
        <is>
          <t>PIX</t>
        </is>
      </c>
      <c r="J268" s="165" t="n"/>
      <c r="K268" s="165" t="n"/>
      <c r="L268" s="236" t="n"/>
      <c r="M268" s="236" t="n"/>
      <c r="N268" s="236" t="n"/>
      <c r="O268" s="236" t="n"/>
      <c r="P268" s="236" t="n"/>
    </row>
    <row r="269">
      <c r="A269" s="236" t="inlineStr">
        <is>
          <t>A supervisão (controle) na formação do analista</t>
        </is>
      </c>
      <c r="B269" s="165" t="n">
        <v>1</v>
      </c>
      <c r="C269" s="68" t="n">
        <v>60</v>
      </c>
      <c r="D269" s="68">
        <f>C269*B269</f>
        <v/>
      </c>
      <c r="E269" s="343" t="n"/>
      <c r="F269" s="343" t="n"/>
      <c r="G269" s="343" t="n"/>
      <c r="H269" s="343" t="n"/>
      <c r="I269" s="343" t="n"/>
      <c r="J269" s="343" t="n"/>
      <c r="K269" s="343" t="n"/>
      <c r="L269" s="236" t="n"/>
      <c r="M269" s="236" t="n"/>
      <c r="N269" s="236" t="n"/>
      <c r="O269" s="236" t="n"/>
      <c r="P269" s="236" t="n"/>
    </row>
    <row r="270">
      <c r="A270" s="236" t="inlineStr">
        <is>
          <t xml:space="preserve">O que esse menino tem? </t>
        </is>
      </c>
      <c r="B270" s="165" t="n">
        <v>1</v>
      </c>
      <c r="C270" s="68" t="n">
        <v>45</v>
      </c>
      <c r="D270" s="68">
        <f>C270*B270</f>
        <v/>
      </c>
      <c r="E270" s="340" t="n"/>
      <c r="F270" s="340" t="n"/>
      <c r="G270" s="340" t="n"/>
      <c r="H270" s="340" t="n"/>
      <c r="I270" s="340" t="n"/>
      <c r="J270" s="340" t="n"/>
      <c r="K270" s="340" t="n"/>
      <c r="L270" s="236" t="n"/>
      <c r="M270" s="236" t="n"/>
      <c r="N270" s="236" t="n"/>
      <c r="O270" s="236" t="n"/>
      <c r="P270" s="236" t="n"/>
    </row>
    <row r="271">
      <c r="A271" s="236" t="inlineStr">
        <is>
          <t>Desarraigados</t>
        </is>
      </c>
      <c r="B271" s="165" t="n">
        <v>1</v>
      </c>
      <c r="C271" s="68" t="n">
        <v>160</v>
      </c>
      <c r="D271" s="68">
        <f>C271*B271</f>
        <v/>
      </c>
      <c r="E271" s="90" t="n"/>
      <c r="F271" s="68">
        <f>E271+D271</f>
        <v/>
      </c>
      <c r="G271" s="69">
        <f>F271</f>
        <v/>
      </c>
      <c r="H271" s="210" t="n">
        <v>45125</v>
      </c>
      <c r="I271" s="155" t="inlineStr">
        <is>
          <t>PIX</t>
        </is>
      </c>
      <c r="J271" s="155" t="n"/>
      <c r="K271" s="94" t="n"/>
      <c r="L271" s="236" t="n"/>
      <c r="M271" s="236" t="n"/>
      <c r="N271" s="236" t="n"/>
      <c r="O271" s="236" t="n"/>
      <c r="P271" s="236" t="n"/>
    </row>
    <row r="272">
      <c r="A272" s="236" t="inlineStr">
        <is>
          <t>O que esse menino tem?</t>
        </is>
      </c>
      <c r="B272" s="165" t="n">
        <v>1</v>
      </c>
      <c r="C272" s="68" t="n">
        <v>45</v>
      </c>
      <c r="D272" s="68">
        <f>C272*B272</f>
        <v/>
      </c>
      <c r="E272" s="90" t="n"/>
      <c r="F272" s="68">
        <f>E272+D272</f>
        <v/>
      </c>
      <c r="G272" s="69">
        <f>F272</f>
        <v/>
      </c>
      <c r="H272" s="210" t="n">
        <v>45128</v>
      </c>
      <c r="I272" s="155" t="inlineStr">
        <is>
          <t>PIX</t>
        </is>
      </c>
      <c r="J272" s="155" t="n"/>
      <c r="K272" s="94" t="n"/>
      <c r="L272" s="236" t="n"/>
      <c r="M272" s="236" t="n"/>
      <c r="N272" s="236" t="n"/>
      <c r="O272" s="236" t="n"/>
      <c r="P272" s="236" t="n"/>
    </row>
    <row r="273">
      <c r="A273" s="236" t="inlineStr">
        <is>
          <t>Agente 20</t>
        </is>
      </c>
      <c r="B273" s="165" t="n">
        <v>1</v>
      </c>
      <c r="C273" s="68" t="n">
        <v>70</v>
      </c>
      <c r="D273" s="68">
        <f>C273*B273</f>
        <v/>
      </c>
      <c r="E273" s="117" t="n"/>
      <c r="F273" s="68">
        <f>E273+D273+D274</f>
        <v/>
      </c>
      <c r="G273" s="69">
        <f>F273</f>
        <v/>
      </c>
      <c r="H273" s="214" t="n">
        <v>45133</v>
      </c>
      <c r="I273" s="216" t="inlineStr">
        <is>
          <t>PIX</t>
        </is>
      </c>
      <c r="J273" s="216" t="n"/>
      <c r="K273" s="165" t="n"/>
      <c r="L273" s="236" t="n"/>
      <c r="M273" s="236" t="n"/>
      <c r="N273" s="236" t="n"/>
      <c r="O273" s="236" t="n"/>
      <c r="P273" s="236" t="n"/>
    </row>
    <row r="274">
      <c r="A274" s="236" t="inlineStr">
        <is>
          <t>La Sexualidad Es Transgénero</t>
        </is>
      </c>
      <c r="B274" s="165" t="n">
        <v>1</v>
      </c>
      <c r="C274" s="68" t="n">
        <v>85</v>
      </c>
      <c r="D274" s="68">
        <f>C274*B274</f>
        <v/>
      </c>
      <c r="E274" s="340" t="n"/>
      <c r="F274" s="340" t="n"/>
      <c r="G274" s="340" t="n"/>
      <c r="H274" s="340" t="n"/>
      <c r="I274" s="340" t="n"/>
      <c r="J274" s="340" t="n"/>
      <c r="K274" s="340" t="n"/>
      <c r="L274" s="236" t="n"/>
      <c r="M274" s="236" t="n"/>
      <c r="N274" s="236" t="n"/>
      <c r="O274" s="236" t="n"/>
      <c r="P274" s="236" t="n"/>
    </row>
    <row r="275">
      <c r="A275" s="236" t="inlineStr">
        <is>
          <t>La Condición Femenina</t>
        </is>
      </c>
      <c r="B275" s="165" t="n">
        <v>1</v>
      </c>
      <c r="C275" s="68" t="n">
        <v>90</v>
      </c>
      <c r="D275" s="68">
        <f>C275*B275</f>
        <v/>
      </c>
      <c r="E275" s="76" t="n"/>
      <c r="F275" s="68">
        <f>E275+D275</f>
        <v/>
      </c>
      <c r="G275" s="69">
        <f>F275</f>
        <v/>
      </c>
      <c r="H275" s="214" t="n">
        <v>45134</v>
      </c>
      <c r="I275" s="129" t="inlineStr">
        <is>
          <t>PIX</t>
        </is>
      </c>
      <c r="J275" s="129" t="n"/>
      <c r="K275" s="236" t="n"/>
      <c r="L275" s="236" t="n"/>
      <c r="M275" s="236" t="n"/>
      <c r="N275" s="236" t="n"/>
      <c r="O275" s="236" t="n"/>
      <c r="P275" s="236" t="n"/>
    </row>
    <row r="276">
      <c r="A276" s="236" t="inlineStr">
        <is>
          <t>Las Islas</t>
        </is>
      </c>
      <c r="B276" s="165" t="n">
        <v>1</v>
      </c>
      <c r="C276" s="68" t="n">
        <v>75</v>
      </c>
      <c r="D276" s="68">
        <f>C276*B276</f>
        <v/>
      </c>
      <c r="E276" s="117" t="n"/>
      <c r="F276" s="68">
        <f>E276+D276+D277</f>
        <v/>
      </c>
      <c r="G276" s="69">
        <f>F276</f>
        <v/>
      </c>
      <c r="H276" s="214" t="n">
        <v>45138</v>
      </c>
      <c r="I276" s="216" t="inlineStr">
        <is>
          <t>PIX</t>
        </is>
      </c>
      <c r="J276" s="216" t="n"/>
      <c r="K276" s="236" t="n"/>
      <c r="L276" s="236" t="n"/>
      <c r="M276" s="236" t="n"/>
      <c r="N276" s="236" t="n"/>
      <c r="O276" s="236" t="n"/>
      <c r="P276" s="236" t="n"/>
    </row>
    <row r="277">
      <c r="A277" s="236" t="inlineStr">
        <is>
          <t>Intervención sobre el nombre del padre</t>
        </is>
      </c>
      <c r="B277" s="165" t="n">
        <v>1</v>
      </c>
      <c r="C277" s="68" t="n">
        <v>75</v>
      </c>
      <c r="D277" s="68">
        <f>C277*B277</f>
        <v/>
      </c>
      <c r="E277" s="340" t="n"/>
      <c r="F277" s="340" t="n"/>
      <c r="G277" s="340" t="n"/>
      <c r="H277" s="340" t="n"/>
      <c r="I277" s="340" t="n"/>
      <c r="J277" s="340" t="n"/>
      <c r="K277" s="236" t="n"/>
      <c r="L277" s="236" t="n"/>
      <c r="M277" s="236" t="n"/>
      <c r="N277" s="236" t="n"/>
      <c r="O277" s="236" t="n"/>
      <c r="P277" s="236" t="n"/>
    </row>
    <row r="278">
      <c r="A278" s="236" t="inlineStr">
        <is>
          <t>O campo uniano</t>
        </is>
      </c>
      <c r="B278" s="165" t="n">
        <v>1</v>
      </c>
      <c r="C278" s="68" t="n">
        <v>120</v>
      </c>
      <c r="D278" s="68">
        <f>C278*B278</f>
        <v/>
      </c>
      <c r="E278" s="76" t="n"/>
      <c r="F278" s="68">
        <f>E278+D278</f>
        <v/>
      </c>
      <c r="G278" s="69">
        <f>F278</f>
        <v/>
      </c>
      <c r="H278" s="214" t="n">
        <v>45138</v>
      </c>
      <c r="I278" s="129" t="inlineStr">
        <is>
          <t>PIX</t>
        </is>
      </c>
      <c r="J278" s="129" t="n"/>
      <c r="K278" s="236" t="n"/>
      <c r="L278" s="236" t="n"/>
      <c r="M278" s="236" t="n"/>
      <c r="N278" s="236" t="n"/>
      <c r="O278" s="236" t="n"/>
      <c r="P278" s="236" t="n"/>
    </row>
    <row r="279">
      <c r="A279" s="236" t="inlineStr">
        <is>
          <t>O campo uniano</t>
        </is>
      </c>
      <c r="B279" s="165" t="n">
        <v>3</v>
      </c>
      <c r="C279" s="68" t="n">
        <v>120</v>
      </c>
      <c r="D279" s="68">
        <f>C279*B279</f>
        <v/>
      </c>
      <c r="E279" s="76" t="n">
        <v>27</v>
      </c>
      <c r="F279" s="68">
        <f>E279+D279</f>
        <v/>
      </c>
      <c r="G279" s="69">
        <f>F279</f>
        <v/>
      </c>
      <c r="H279" s="214" t="n">
        <v>45138</v>
      </c>
      <c r="I279" s="129" t="inlineStr">
        <is>
          <t>PIX</t>
        </is>
      </c>
      <c r="J279" s="129" t="n"/>
      <c r="K279" s="236" t="n"/>
      <c r="L279" s="236" t="n"/>
      <c r="M279" s="236" t="n"/>
      <c r="N279" s="236" t="n"/>
      <c r="O279" s="236" t="n"/>
      <c r="P279" s="236" t="n"/>
    </row>
    <row r="280">
      <c r="A280" s="236" t="inlineStr">
        <is>
          <t>El Fantasma, Aún</t>
        </is>
      </c>
      <c r="B280" s="165" t="n">
        <v>1</v>
      </c>
      <c r="C280" s="68" t="n">
        <v>80</v>
      </c>
      <c r="D280" s="68">
        <f>C280*B280</f>
        <v/>
      </c>
      <c r="E280" s="76" t="n"/>
      <c r="F280" s="68">
        <f>E280+D280</f>
        <v/>
      </c>
      <c r="G280" s="69">
        <f>F280</f>
        <v/>
      </c>
      <c r="H280" s="214" t="n">
        <v>45142</v>
      </c>
      <c r="I280" s="129" t="inlineStr">
        <is>
          <t>PIX</t>
        </is>
      </c>
      <c r="J280" s="129" t="n"/>
      <c r="K280" s="236" t="n"/>
      <c r="L280" s="236" t="n"/>
      <c r="M280" s="236" t="n"/>
      <c r="N280" s="236" t="n"/>
      <c r="O280" s="236" t="n"/>
      <c r="P280" s="236" t="n"/>
    </row>
    <row r="281">
      <c r="A281" s="236" t="inlineStr">
        <is>
          <t>Entre o gozo e o desejo</t>
        </is>
      </c>
      <c r="B281" s="165" t="n">
        <v>1</v>
      </c>
      <c r="C281" s="68" t="n">
        <v>80</v>
      </c>
      <c r="D281" s="68">
        <f>C281*B281</f>
        <v/>
      </c>
      <c r="E281" s="76" t="n"/>
      <c r="F281" s="68">
        <f>E281+D281</f>
        <v/>
      </c>
      <c r="G281" s="69">
        <f>F281</f>
        <v/>
      </c>
      <c r="H281" s="214" t="n">
        <v>45142</v>
      </c>
      <c r="I281" s="129" t="inlineStr">
        <is>
          <t>PIX</t>
        </is>
      </c>
      <c r="J281" s="129" t="n"/>
      <c r="K281" s="236" t="n"/>
      <c r="L281" s="236" t="n"/>
      <c r="M281" s="236" t="n"/>
      <c r="N281" s="236" t="n"/>
      <c r="O281" s="236" t="n"/>
      <c r="P281" s="236" t="n"/>
    </row>
    <row r="282">
      <c r="A282" s="236" t="inlineStr">
        <is>
          <t>El Fantasma, Aún</t>
        </is>
      </c>
      <c r="B282" s="165" t="n">
        <v>1</v>
      </c>
      <c r="C282" s="68" t="n">
        <v>70</v>
      </c>
      <c r="D282" s="68">
        <f>C282*B282</f>
        <v/>
      </c>
      <c r="E282" s="76" t="n"/>
      <c r="F282" s="68">
        <f>E282+D282</f>
        <v/>
      </c>
      <c r="G282" s="69">
        <f>F282</f>
        <v/>
      </c>
      <c r="H282" s="214" t="n">
        <v>45141</v>
      </c>
      <c r="I282" s="129" t="inlineStr">
        <is>
          <t>PIX</t>
        </is>
      </c>
      <c r="J282" s="129" t="n"/>
      <c r="K282" s="236" t="n"/>
      <c r="L282" s="236" t="n"/>
      <c r="M282" s="236" t="n"/>
      <c r="N282" s="236" t="n"/>
      <c r="O282" s="236" t="n"/>
      <c r="P282" s="236" t="n"/>
    </row>
    <row r="283">
      <c r="A283" s="236" t="inlineStr">
        <is>
          <t>Al Fantasma, aún</t>
        </is>
      </c>
      <c r="B283" s="165" t="n">
        <v>1</v>
      </c>
      <c r="C283" s="68" t="n">
        <v>80</v>
      </c>
      <c r="D283" s="68">
        <f>C283*B283</f>
        <v/>
      </c>
      <c r="E283" s="117" t="n"/>
      <c r="F283" s="68">
        <f>E283+D283+D284</f>
        <v/>
      </c>
      <c r="G283" s="69">
        <f>F283</f>
        <v/>
      </c>
      <c r="H283" s="214" t="n">
        <v>45142</v>
      </c>
      <c r="I283" s="216" t="inlineStr">
        <is>
          <t>PIX</t>
        </is>
      </c>
      <c r="J283" s="216" t="n"/>
      <c r="K283" s="165" t="n"/>
      <c r="L283" s="236" t="n"/>
      <c r="M283" s="236" t="n"/>
      <c r="N283" s="236" t="n"/>
      <c r="O283" s="236" t="n"/>
      <c r="P283" s="236" t="n"/>
    </row>
    <row r="284">
      <c r="A284" s="236" t="inlineStr">
        <is>
          <t>La Condición Femenina</t>
        </is>
      </c>
      <c r="B284" s="165" t="n">
        <v>1</v>
      </c>
      <c r="C284" s="68" t="n">
        <v>90</v>
      </c>
      <c r="D284" s="68">
        <f>C284*B284</f>
        <v/>
      </c>
      <c r="E284" s="340" t="n"/>
      <c r="F284" s="340" t="n"/>
      <c r="G284" s="340" t="n"/>
      <c r="H284" s="340" t="n"/>
      <c r="I284" s="340" t="n"/>
      <c r="J284" s="340" t="n"/>
      <c r="K284" s="340" t="n"/>
      <c r="L284" s="236" t="n"/>
      <c r="M284" s="236" t="n"/>
      <c r="N284" s="236" t="n"/>
      <c r="O284" s="236" t="n"/>
      <c r="P284" s="236" t="n"/>
    </row>
    <row r="285">
      <c r="A285" s="236" t="inlineStr">
        <is>
          <t>Divergencia de valor</t>
        </is>
      </c>
      <c r="B285" s="165" t="n">
        <v>1</v>
      </c>
      <c r="C285" s="68" t="n">
        <v>10</v>
      </c>
      <c r="D285" s="68">
        <f>C285*B285</f>
        <v/>
      </c>
      <c r="E285" s="76" t="n"/>
      <c r="F285" s="68">
        <f>E285+D285</f>
        <v/>
      </c>
      <c r="G285" s="69">
        <f>F285</f>
        <v/>
      </c>
      <c r="H285" s="214" t="n">
        <v>45142</v>
      </c>
      <c r="I285" s="129" t="inlineStr">
        <is>
          <t>PIX</t>
        </is>
      </c>
      <c r="J285" s="129" t="n"/>
      <c r="K285" s="236" t="n"/>
      <c r="L285" s="236" t="n"/>
      <c r="M285" s="236" t="n"/>
      <c r="N285" s="236" t="n"/>
      <c r="O285" s="236" t="n"/>
      <c r="P285" s="236" t="n"/>
    </row>
    <row r="286">
      <c r="A286" s="236" t="inlineStr">
        <is>
          <t>As Apaixonadas</t>
        </is>
      </c>
      <c r="B286" s="165" t="n">
        <v>1</v>
      </c>
      <c r="C286" s="68" t="n">
        <v>70</v>
      </c>
      <c r="D286" s="68">
        <f>C286*B286</f>
        <v/>
      </c>
      <c r="E286" s="76" t="n"/>
      <c r="F286" s="68">
        <f>E286+D286</f>
        <v/>
      </c>
      <c r="G286" s="69">
        <f>F286</f>
        <v/>
      </c>
      <c r="H286" s="214" t="n">
        <v>45145</v>
      </c>
      <c r="I286" s="129" t="inlineStr">
        <is>
          <t>PIX</t>
        </is>
      </c>
      <c r="J286" s="129" t="n"/>
      <c r="K286" s="236" t="n"/>
      <c r="L286" s="236" t="n"/>
      <c r="M286" s="236" t="n"/>
      <c r="N286" s="236" t="n"/>
      <c r="O286" s="236" t="n"/>
      <c r="P286" s="236" t="n"/>
    </row>
    <row r="287">
      <c r="A287" s="236" t="inlineStr">
        <is>
          <t>Entre o gozo e o desejo</t>
        </is>
      </c>
      <c r="B287" s="165" t="n">
        <v>1</v>
      </c>
      <c r="C287" s="68" t="n">
        <v>80</v>
      </c>
      <c r="D287" s="68">
        <f>C287*B287</f>
        <v/>
      </c>
      <c r="E287" s="76" t="n">
        <v>15</v>
      </c>
      <c r="F287" s="68">
        <f>E287+D287</f>
        <v/>
      </c>
      <c r="G287" s="69">
        <f>F287</f>
        <v/>
      </c>
      <c r="H287" s="214" t="n">
        <v>45145</v>
      </c>
      <c r="I287" s="129" t="inlineStr">
        <is>
          <t>PIX</t>
        </is>
      </c>
      <c r="J287" s="129" t="n"/>
      <c r="K287" s="236" t="n"/>
      <c r="L287" s="236" t="n"/>
      <c r="M287" s="236" t="n"/>
      <c r="N287" s="236" t="n"/>
      <c r="O287" s="236" t="n"/>
      <c r="P287" s="236" t="n"/>
    </row>
    <row r="288">
      <c r="A288" s="236" t="inlineStr">
        <is>
          <t>Entre o gozo e o desejo</t>
        </is>
      </c>
      <c r="B288" s="165" t="n">
        <v>1</v>
      </c>
      <c r="C288" s="68" t="n">
        <v>80</v>
      </c>
      <c r="D288" s="68">
        <f>C288*B288</f>
        <v/>
      </c>
      <c r="E288" s="76" t="n">
        <v>15</v>
      </c>
      <c r="F288" s="68">
        <f>E288+D288</f>
        <v/>
      </c>
      <c r="G288" s="69">
        <f>F288</f>
        <v/>
      </c>
      <c r="H288" s="214" t="n">
        <v>45145</v>
      </c>
      <c r="I288" s="129" t="inlineStr">
        <is>
          <t>PIX</t>
        </is>
      </c>
      <c r="J288" s="129" t="n"/>
      <c r="K288" s="236" t="n"/>
      <c r="L288" s="236" t="n"/>
      <c r="M288" s="236" t="n"/>
      <c r="N288" s="236" t="n"/>
      <c r="O288" s="236" t="n"/>
      <c r="P288" s="236" t="n"/>
    </row>
    <row r="289">
      <c r="A289" s="236" t="inlineStr">
        <is>
          <t>Entre o gozo e o desejo</t>
        </is>
      </c>
      <c r="B289" s="165" t="n">
        <v>1</v>
      </c>
      <c r="C289" s="68" t="n">
        <v>80</v>
      </c>
      <c r="D289" s="68">
        <f>C289*B289</f>
        <v/>
      </c>
      <c r="E289" s="76" t="n"/>
      <c r="F289" s="68">
        <f>E289+D289</f>
        <v/>
      </c>
      <c r="G289" s="69">
        <f>F289</f>
        <v/>
      </c>
      <c r="H289" s="214" t="n">
        <v>45147</v>
      </c>
      <c r="I289" s="129" t="inlineStr">
        <is>
          <t>PIX</t>
        </is>
      </c>
      <c r="J289" s="129" t="n"/>
      <c r="K289" s="236" t="n"/>
      <c r="L289" s="236" t="n"/>
      <c r="M289" s="236" t="n"/>
      <c r="N289" s="236" t="n"/>
      <c r="O289" s="236" t="n"/>
      <c r="P289" s="236" t="n"/>
    </row>
    <row r="290">
      <c r="A290" s="236" t="inlineStr">
        <is>
          <t>Entre o gozo e o desejo</t>
        </is>
      </c>
      <c r="B290" s="165" t="n">
        <v>1</v>
      </c>
      <c r="C290" s="68" t="n">
        <v>80</v>
      </c>
      <c r="D290" s="68">
        <f>C290*B290</f>
        <v/>
      </c>
      <c r="E290" s="117" t="n">
        <v>20</v>
      </c>
      <c r="F290" s="68">
        <f>E290+D290+D291</f>
        <v/>
      </c>
      <c r="G290" s="69">
        <f>F290</f>
        <v/>
      </c>
      <c r="H290" s="214" t="n">
        <v>45147</v>
      </c>
      <c r="I290" s="216" t="inlineStr">
        <is>
          <t>PIX</t>
        </is>
      </c>
      <c r="J290" s="216" t="n"/>
      <c r="K290" s="165" t="n"/>
      <c r="L290" s="236" t="n"/>
      <c r="M290" s="236" t="n"/>
      <c r="N290" s="236" t="n"/>
      <c r="O290" s="236" t="n"/>
      <c r="P290" s="236" t="n"/>
    </row>
    <row r="291">
      <c r="A291" s="236" t="inlineStr">
        <is>
          <t>El Fantasma, Aún</t>
        </is>
      </c>
      <c r="B291" s="165" t="n">
        <v>1</v>
      </c>
      <c r="C291" s="68" t="n">
        <v>80</v>
      </c>
      <c r="D291" s="68">
        <f>C291*B291</f>
        <v/>
      </c>
      <c r="E291" s="340" t="n"/>
      <c r="F291" s="340" t="n"/>
      <c r="G291" s="340" t="n"/>
      <c r="H291" s="340" t="n"/>
      <c r="I291" s="340" t="n"/>
      <c r="J291" s="340" t="n"/>
      <c r="K291" s="340" t="n"/>
      <c r="L291" s="236" t="n"/>
      <c r="M291" s="236" t="n"/>
      <c r="N291" s="236" t="n"/>
      <c r="O291" s="236" t="n"/>
      <c r="P291" s="236" t="n"/>
    </row>
    <row r="292">
      <c r="A292" s="236" t="inlineStr">
        <is>
          <t>As Apaixonadas</t>
        </is>
      </c>
      <c r="B292" s="165" t="n">
        <v>1</v>
      </c>
      <c r="C292" s="68" t="n">
        <v>70</v>
      </c>
      <c r="D292" s="68">
        <f>C292*B292</f>
        <v/>
      </c>
      <c r="E292" s="76" t="n"/>
      <c r="F292" s="68">
        <f>E292+D292</f>
        <v/>
      </c>
      <c r="G292" s="69">
        <f>F292</f>
        <v/>
      </c>
      <c r="H292" s="214" t="n">
        <v>45147</v>
      </c>
      <c r="I292" s="129" t="inlineStr">
        <is>
          <t>PIX</t>
        </is>
      </c>
      <c r="J292" s="129" t="n"/>
      <c r="K292" s="236" t="n"/>
      <c r="L292" s="236" t="n"/>
      <c r="M292" s="236" t="n"/>
      <c r="N292" s="236" t="n"/>
      <c r="O292" s="236" t="n"/>
      <c r="P292" s="236" t="n"/>
    </row>
    <row r="293">
      <c r="A293" s="236" t="inlineStr">
        <is>
          <t>El Fantasma, Aún</t>
        </is>
      </c>
      <c r="B293" s="165" t="n">
        <v>1</v>
      </c>
      <c r="C293" s="68" t="n">
        <v>80</v>
      </c>
      <c r="D293" s="68">
        <f>C293*B293</f>
        <v/>
      </c>
      <c r="E293" s="76" t="n"/>
      <c r="F293" s="68">
        <f>E293+D293</f>
        <v/>
      </c>
      <c r="G293" s="69">
        <f>F293</f>
        <v/>
      </c>
      <c r="H293" s="214" t="n">
        <v>45147</v>
      </c>
      <c r="I293" s="129" t="inlineStr">
        <is>
          <t>PIX</t>
        </is>
      </c>
      <c r="J293" s="129" t="n"/>
      <c r="K293" s="236" t="n"/>
      <c r="L293" s="236" t="n"/>
      <c r="M293" s="236" t="n"/>
      <c r="N293" s="236" t="n"/>
      <c r="O293" s="236" t="n"/>
      <c r="P293" s="236" t="n"/>
    </row>
    <row r="294">
      <c r="A294" s="236" t="inlineStr">
        <is>
          <t>El Fantasma, Aún</t>
        </is>
      </c>
      <c r="B294" s="165" t="n">
        <v>1</v>
      </c>
      <c r="C294" s="68" t="n">
        <v>80</v>
      </c>
      <c r="D294" s="68">
        <f>C294*B294</f>
        <v/>
      </c>
      <c r="E294" s="76" t="n"/>
      <c r="F294" s="68">
        <f>E294+D294</f>
        <v/>
      </c>
      <c r="G294" s="69">
        <f>F294</f>
        <v/>
      </c>
      <c r="H294" s="214" t="n">
        <v>45147</v>
      </c>
      <c r="I294" s="129" t="inlineStr">
        <is>
          <t>PIX</t>
        </is>
      </c>
      <c r="J294" s="129" t="n"/>
      <c r="K294" s="236" t="n"/>
      <c r="L294" s="236" t="n"/>
      <c r="M294" s="236" t="n"/>
      <c r="N294" s="236" t="n"/>
      <c r="O294" s="236" t="n"/>
      <c r="P294" s="236" t="n"/>
    </row>
    <row r="295">
      <c r="A295" s="236" t="inlineStr">
        <is>
          <t>El Fantasma, Aún</t>
        </is>
      </c>
      <c r="B295" s="165" t="n">
        <v>1</v>
      </c>
      <c r="C295" s="68" t="n">
        <v>80</v>
      </c>
      <c r="D295" s="68">
        <f>C295*B295</f>
        <v/>
      </c>
      <c r="E295" s="76" t="n"/>
      <c r="F295" s="68">
        <f>E295+D295</f>
        <v/>
      </c>
      <c r="G295" s="69">
        <f>F295</f>
        <v/>
      </c>
      <c r="H295" s="214" t="n">
        <v>45147</v>
      </c>
      <c r="I295" s="129" t="inlineStr">
        <is>
          <t>PIX</t>
        </is>
      </c>
      <c r="J295" s="129" t="n"/>
      <c r="K295" s="236" t="n"/>
      <c r="L295" s="236" t="n"/>
      <c r="M295" s="236" t="n"/>
      <c r="N295" s="236" t="n"/>
      <c r="O295" s="236" t="n"/>
      <c r="P295" s="236" t="n"/>
    </row>
    <row r="296">
      <c r="A296" s="236" t="inlineStr">
        <is>
          <t>Entre o gozo e o desejo</t>
        </is>
      </c>
      <c r="B296" s="165" t="n">
        <v>1</v>
      </c>
      <c r="C296" s="68" t="n">
        <v>80</v>
      </c>
      <c r="D296" s="68">
        <f>C296*B296</f>
        <v/>
      </c>
      <c r="E296" s="76" t="n"/>
      <c r="F296" s="68">
        <f>E296+D296</f>
        <v/>
      </c>
      <c r="G296" s="69">
        <f>F296</f>
        <v/>
      </c>
      <c r="H296" s="214" t="n">
        <v>45147</v>
      </c>
      <c r="I296" s="129" t="inlineStr">
        <is>
          <t>PIX</t>
        </is>
      </c>
      <c r="J296" s="129" t="n"/>
      <c r="K296" s="236" t="n"/>
      <c r="L296" s="236" t="n"/>
      <c r="M296" s="236" t="n"/>
      <c r="N296" s="236" t="n"/>
      <c r="O296" s="236" t="n"/>
      <c r="P296" s="236" t="n"/>
    </row>
    <row r="297">
      <c r="A297" s="236" t="inlineStr">
        <is>
          <t>El Fantasma, Aún</t>
        </is>
      </c>
      <c r="B297" s="165" t="n">
        <v>1</v>
      </c>
      <c r="C297" s="68" t="n">
        <v>80</v>
      </c>
      <c r="D297" s="68">
        <f>C297*B297</f>
        <v/>
      </c>
      <c r="E297" s="76" t="n">
        <v>15</v>
      </c>
      <c r="F297" s="68">
        <f>E297+D297</f>
        <v/>
      </c>
      <c r="G297" s="69">
        <f>F297</f>
        <v/>
      </c>
      <c r="H297" s="214" t="n">
        <v>45147</v>
      </c>
      <c r="I297" s="129" t="inlineStr">
        <is>
          <t>PIX</t>
        </is>
      </c>
      <c r="J297" s="129" t="n"/>
      <c r="K297" s="236" t="n"/>
      <c r="L297" s="236" t="n"/>
      <c r="M297" s="236" t="n"/>
      <c r="N297" s="236" t="n"/>
      <c r="O297" s="236" t="n"/>
      <c r="P297" s="236" t="n"/>
    </row>
    <row r="298">
      <c r="A298" s="236" t="inlineStr">
        <is>
          <t>El Fantasma, Aún</t>
        </is>
      </c>
      <c r="B298" s="165" t="n">
        <v>1</v>
      </c>
      <c r="C298" s="68" t="n">
        <v>80</v>
      </c>
      <c r="D298" s="68">
        <f>C298*B298</f>
        <v/>
      </c>
      <c r="E298" s="76" t="n"/>
      <c r="F298" s="68">
        <f>E298+D298</f>
        <v/>
      </c>
      <c r="G298" s="69">
        <f>F298</f>
        <v/>
      </c>
      <c r="H298" s="214" t="n">
        <v>45148</v>
      </c>
      <c r="I298" s="129" t="inlineStr">
        <is>
          <t>PIX</t>
        </is>
      </c>
      <c r="J298" s="129" t="n"/>
      <c r="K298" s="236" t="n"/>
      <c r="L298" s="236" t="n"/>
      <c r="M298" s="236" t="n"/>
      <c r="N298" s="236" t="n"/>
      <c r="O298" s="236" t="n"/>
      <c r="P298" s="236" t="n"/>
    </row>
    <row r="299">
      <c r="A299" s="236" t="inlineStr">
        <is>
          <t>El Fantasma, Aún</t>
        </is>
      </c>
      <c r="B299" s="165" t="n">
        <v>1</v>
      </c>
      <c r="C299" s="68" t="n">
        <v>80</v>
      </c>
      <c r="D299" s="68">
        <f>C299*B299</f>
        <v/>
      </c>
      <c r="E299" s="76" t="n"/>
      <c r="F299" s="68">
        <f>E299+D299</f>
        <v/>
      </c>
      <c r="G299" s="69">
        <f>F299</f>
        <v/>
      </c>
      <c r="H299" s="214" t="n">
        <v>45148</v>
      </c>
      <c r="I299" s="129" t="inlineStr">
        <is>
          <t>PIX</t>
        </is>
      </c>
      <c r="J299" s="129" t="n"/>
      <c r="K299" s="236" t="n"/>
      <c r="L299" s="236" t="n"/>
      <c r="M299" s="236" t="n"/>
      <c r="N299" s="236" t="n"/>
      <c r="O299" s="236" t="n"/>
      <c r="P299" s="236" t="n"/>
    </row>
    <row r="300">
      <c r="A300" s="236" t="inlineStr">
        <is>
          <t>La Condición Femenina</t>
        </is>
      </c>
      <c r="B300" s="165" t="n">
        <v>1</v>
      </c>
      <c r="C300" s="68" t="n">
        <v>90</v>
      </c>
      <c r="D300" s="68">
        <f>C300*B300</f>
        <v/>
      </c>
      <c r="E300" s="76" t="n"/>
      <c r="F300" s="68">
        <f>E300+D300</f>
        <v/>
      </c>
      <c r="G300" s="69">
        <f>F300</f>
        <v/>
      </c>
      <c r="H300" s="214" t="n">
        <v>45149</v>
      </c>
      <c r="I300" s="129" t="inlineStr">
        <is>
          <t>PIX</t>
        </is>
      </c>
      <c r="J300" s="129" t="n"/>
      <c r="K300" s="236" t="n"/>
      <c r="L300" s="236" t="n"/>
      <c r="M300" s="236" t="n"/>
      <c r="N300" s="236" t="n"/>
      <c r="O300" s="236" t="n"/>
      <c r="P300" s="236" t="n"/>
    </row>
    <row r="301">
      <c r="A301" s="236" t="inlineStr">
        <is>
          <t>Introducción a La Clínica Con Toxicomanías y Alcoholismo</t>
        </is>
      </c>
      <c r="B301" s="165" t="n">
        <v>1</v>
      </c>
      <c r="C301" s="68" t="n">
        <v>60</v>
      </c>
      <c r="D301" s="68">
        <f>C301*B301</f>
        <v/>
      </c>
      <c r="E301" s="76" t="n"/>
      <c r="F301" s="68">
        <f>E301+D301</f>
        <v/>
      </c>
      <c r="G301" s="69">
        <f>F301</f>
        <v/>
      </c>
      <c r="H301" s="214" t="n">
        <v>45149</v>
      </c>
      <c r="I301" s="129" t="inlineStr">
        <is>
          <t>PIX</t>
        </is>
      </c>
      <c r="J301" s="129" t="n"/>
      <c r="K301" s="236" t="n"/>
      <c r="L301" s="236" t="n"/>
      <c r="M301" s="236" t="n"/>
      <c r="N301" s="236" t="n"/>
      <c r="O301" s="236" t="n"/>
      <c r="P301" s="236" t="n"/>
    </row>
    <row r="302">
      <c r="A302" s="236" t="inlineStr">
        <is>
          <t>O campo uniano</t>
        </is>
      </c>
      <c r="B302" s="165" t="n">
        <v>1</v>
      </c>
      <c r="C302" s="68" t="n">
        <v>120</v>
      </c>
      <c r="D302" s="68">
        <f>C302*B302</f>
        <v/>
      </c>
      <c r="E302" s="76" t="n"/>
      <c r="F302" s="68">
        <f>E302+D302</f>
        <v/>
      </c>
      <c r="G302" s="69">
        <f>F302</f>
        <v/>
      </c>
      <c r="H302" s="214" t="n">
        <v>45153</v>
      </c>
      <c r="I302" s="129" t="inlineStr">
        <is>
          <t>PIX</t>
        </is>
      </c>
      <c r="J302" s="129" t="n"/>
      <c r="K302" s="236" t="n"/>
      <c r="L302" s="236" t="n"/>
      <c r="M302" s="236" t="n"/>
      <c r="N302" s="236" t="n"/>
      <c r="O302" s="236" t="n"/>
      <c r="P302" s="236" t="n"/>
    </row>
    <row r="303">
      <c r="A303" s="236" t="inlineStr">
        <is>
          <t>O campo uniano</t>
        </is>
      </c>
      <c r="B303" s="165" t="n">
        <v>1</v>
      </c>
      <c r="C303" s="68" t="n">
        <v>120</v>
      </c>
      <c r="D303" s="68">
        <f>C303*B303</f>
        <v/>
      </c>
      <c r="E303" s="76" t="n"/>
      <c r="F303" s="68">
        <f>E303+D303</f>
        <v/>
      </c>
      <c r="G303" s="69">
        <f>F303</f>
        <v/>
      </c>
      <c r="H303" s="214" t="n">
        <v>45154</v>
      </c>
      <c r="I303" s="129" t="inlineStr">
        <is>
          <t>PIX</t>
        </is>
      </c>
      <c r="J303" s="129" t="n"/>
      <c r="K303" s="236" t="n"/>
      <c r="L303" s="236" t="n"/>
      <c r="M303" s="236" t="n"/>
      <c r="N303" s="236" t="n"/>
      <c r="O303" s="236" t="n"/>
      <c r="P303" s="236" t="n"/>
    </row>
    <row r="304">
      <c r="A304" s="236" t="inlineStr">
        <is>
          <t>Intervención sobre el nombre del padre</t>
        </is>
      </c>
      <c r="B304" s="165" t="n">
        <v>1</v>
      </c>
      <c r="C304" s="68" t="n">
        <v>75</v>
      </c>
      <c r="D304" s="68">
        <f>C304*B304</f>
        <v/>
      </c>
      <c r="E304" s="117" t="n"/>
      <c r="F304" s="68">
        <f>E304+D304+D305</f>
        <v/>
      </c>
      <c r="G304" s="69">
        <f>F304</f>
        <v/>
      </c>
      <c r="H304" s="214" t="n">
        <v>45154</v>
      </c>
      <c r="I304" s="216" t="inlineStr">
        <is>
          <t>PIX</t>
        </is>
      </c>
      <c r="J304" s="216" t="n"/>
      <c r="K304" s="165" t="n"/>
      <c r="L304" s="236" t="n"/>
      <c r="M304" s="236" t="n"/>
      <c r="N304" s="236" t="n"/>
      <c r="O304" s="236" t="n"/>
      <c r="P304" s="236" t="n"/>
    </row>
    <row r="305">
      <c r="A305" s="236" t="inlineStr">
        <is>
          <t>El Nacimiento del Campo Freudiano</t>
        </is>
      </c>
      <c r="B305" s="165" t="n">
        <v>1</v>
      </c>
      <c r="C305" s="68" t="n">
        <v>180</v>
      </c>
      <c r="D305" s="68">
        <f>C305*B305</f>
        <v/>
      </c>
      <c r="E305" s="340" t="n"/>
      <c r="F305" s="340" t="n"/>
      <c r="G305" s="340" t="n"/>
      <c r="H305" s="340" t="n"/>
      <c r="I305" s="340" t="n"/>
      <c r="J305" s="340" t="n"/>
      <c r="K305" s="340" t="n"/>
      <c r="L305" s="236" t="n"/>
      <c r="M305" s="236" t="n"/>
      <c r="N305" s="236" t="n"/>
      <c r="O305" s="236" t="n"/>
      <c r="P305" s="236" t="n"/>
    </row>
    <row r="306">
      <c r="A306" s="236" t="inlineStr">
        <is>
          <t>Entre o gozo e o desejo</t>
        </is>
      </c>
      <c r="B306" s="165" t="n">
        <v>1</v>
      </c>
      <c r="C306" s="68" t="n">
        <v>80</v>
      </c>
      <c r="D306" s="68">
        <f>C306*B306</f>
        <v/>
      </c>
      <c r="E306" s="90" t="n"/>
      <c r="F306" s="68">
        <f>E306+D306</f>
        <v/>
      </c>
      <c r="G306" s="69">
        <f>F306</f>
        <v/>
      </c>
      <c r="H306" s="210" t="n">
        <v>45154</v>
      </c>
      <c r="I306" s="155" t="inlineStr">
        <is>
          <t>PIX</t>
        </is>
      </c>
      <c r="J306" s="155" t="n"/>
      <c r="K306" s="94" t="n"/>
      <c r="L306" s="236" t="n"/>
      <c r="M306" s="236" t="n"/>
      <c r="N306" s="236" t="n"/>
      <c r="O306" s="236" t="n"/>
      <c r="P306" s="236" t="n"/>
    </row>
    <row r="307">
      <c r="A307" s="236" t="inlineStr">
        <is>
          <t>A função do pai em psicanálise</t>
        </is>
      </c>
      <c r="B307" s="165" t="n">
        <v>1</v>
      </c>
      <c r="C307" s="68" t="n">
        <v>60</v>
      </c>
      <c r="D307" s="68">
        <f>C307*B307</f>
        <v/>
      </c>
      <c r="E307" s="90" t="n"/>
      <c r="F307" s="68">
        <f>E307+D307</f>
        <v/>
      </c>
      <c r="G307" s="69">
        <f>F307</f>
        <v/>
      </c>
      <c r="H307" s="210" t="n">
        <v>45154</v>
      </c>
      <c r="I307" s="155" t="inlineStr">
        <is>
          <t>PIX</t>
        </is>
      </c>
      <c r="J307" s="155" t="n"/>
      <c r="K307" s="94" t="n"/>
      <c r="L307" s="236" t="n"/>
      <c r="M307" s="236" t="n"/>
      <c r="N307" s="236" t="n"/>
      <c r="O307" s="236" t="n"/>
      <c r="P307" s="236" t="n"/>
    </row>
    <row r="308">
      <c r="A308" s="236" t="inlineStr">
        <is>
          <t>O campo uniano</t>
        </is>
      </c>
      <c r="B308" s="165" t="n">
        <v>1</v>
      </c>
      <c r="C308" s="68" t="n">
        <v>120</v>
      </c>
      <c r="D308" s="68">
        <f>C308*B308</f>
        <v/>
      </c>
      <c r="E308" s="90" t="n"/>
      <c r="F308" s="68">
        <f>E308+D308</f>
        <v/>
      </c>
      <c r="G308" s="69">
        <f>F308</f>
        <v/>
      </c>
      <c r="H308" s="210" t="n">
        <v>45156</v>
      </c>
      <c r="I308" s="155" t="inlineStr">
        <is>
          <t>PIX</t>
        </is>
      </c>
      <c r="J308" s="155" t="n"/>
      <c r="K308" s="94" t="n"/>
      <c r="L308" s="236" t="n"/>
      <c r="M308" s="236" t="n"/>
      <c r="N308" s="236" t="n"/>
      <c r="O308" s="236" t="n"/>
      <c r="P308" s="236" t="n"/>
    </row>
    <row r="309">
      <c r="A309" s="236" t="inlineStr">
        <is>
          <t>O campo uniano</t>
        </is>
      </c>
      <c r="B309" s="165" t="n">
        <v>1</v>
      </c>
      <c r="C309" s="68" t="n">
        <v>120</v>
      </c>
      <c r="D309" s="68">
        <f>C309*B309</f>
        <v/>
      </c>
      <c r="E309" s="76" t="n"/>
      <c r="F309" s="68">
        <f>E309+D309</f>
        <v/>
      </c>
      <c r="G309" s="69">
        <f>F309</f>
        <v/>
      </c>
      <c r="H309" s="214" t="n">
        <v>45156</v>
      </c>
      <c r="I309" s="216" t="inlineStr">
        <is>
          <t>PIX</t>
        </is>
      </c>
      <c r="J309" s="129" t="n"/>
      <c r="K309" s="236" t="n"/>
      <c r="L309" s="236" t="n"/>
      <c r="M309" s="236" t="n"/>
      <c r="N309" s="236" t="n"/>
      <c r="O309" s="236" t="n"/>
      <c r="P309" s="236" t="n"/>
    </row>
    <row r="310">
      <c r="A310" s="236" t="inlineStr">
        <is>
          <t>O campo uniano</t>
        </is>
      </c>
      <c r="B310" s="165" t="n">
        <v>1</v>
      </c>
      <c r="C310" s="68" t="n">
        <v>120</v>
      </c>
      <c r="D310" s="68">
        <f>C310*B310</f>
        <v/>
      </c>
      <c r="E310" s="117" t="n"/>
      <c r="F310" s="68">
        <f>E310+D310+D311</f>
        <v/>
      </c>
      <c r="G310" s="69">
        <f>F310</f>
        <v/>
      </c>
      <c r="H310" s="214" t="n">
        <v>45156</v>
      </c>
      <c r="I310" s="216" t="inlineStr">
        <is>
          <t>PIX</t>
        </is>
      </c>
      <c r="J310" s="216" t="n"/>
      <c r="K310" s="236" t="n"/>
      <c r="L310" s="236" t="n"/>
      <c r="M310" s="236" t="n"/>
      <c r="N310" s="236" t="n"/>
      <c r="O310" s="236" t="n"/>
      <c r="P310" s="236" t="n"/>
    </row>
    <row r="311">
      <c r="A311" s="236" t="inlineStr">
        <is>
          <t>Correio</t>
        </is>
      </c>
      <c r="B311" s="165" t="n">
        <v>1</v>
      </c>
      <c r="C311" s="68" t="n">
        <v>25</v>
      </c>
      <c r="D311" s="68">
        <f>C311*B311</f>
        <v/>
      </c>
      <c r="E311" s="340" t="n"/>
      <c r="F311" s="340" t="n"/>
      <c r="G311" s="340" t="n"/>
      <c r="H311" s="340" t="n"/>
      <c r="I311" s="340" t="n"/>
      <c r="J311" s="340" t="n"/>
      <c r="K311" s="236" t="n"/>
      <c r="L311" s="236" t="n"/>
      <c r="M311" s="236" t="n"/>
      <c r="N311" s="236" t="n"/>
      <c r="O311" s="236" t="n"/>
      <c r="P311" s="236" t="n"/>
    </row>
    <row r="312">
      <c r="A312" s="236" t="inlineStr">
        <is>
          <t>O campo uniano</t>
        </is>
      </c>
      <c r="B312" s="165" t="n">
        <v>1</v>
      </c>
      <c r="C312" s="68" t="n">
        <v>120</v>
      </c>
      <c r="D312" s="68">
        <f>C312*B312</f>
        <v/>
      </c>
      <c r="E312" s="76" t="n"/>
      <c r="F312" s="68">
        <f>E312+D312</f>
        <v/>
      </c>
      <c r="G312" s="69">
        <f>F312</f>
        <v/>
      </c>
      <c r="H312" s="214" t="n">
        <v>45156</v>
      </c>
      <c r="I312" s="216" t="inlineStr">
        <is>
          <t>PIX</t>
        </is>
      </c>
      <c r="J312" s="129" t="n"/>
      <c r="K312" s="236" t="n"/>
      <c r="L312" s="236" t="n"/>
      <c r="M312" s="236" t="n"/>
      <c r="N312" s="236" t="n"/>
      <c r="O312" s="236" t="n"/>
      <c r="P312" s="236" t="n"/>
    </row>
    <row r="313">
      <c r="A313" s="236" t="inlineStr">
        <is>
          <t>O campo uniano</t>
        </is>
      </c>
      <c r="B313" s="165" t="n">
        <v>1</v>
      </c>
      <c r="C313" s="68" t="n">
        <v>120</v>
      </c>
      <c r="D313" s="68">
        <f>C313*B313</f>
        <v/>
      </c>
      <c r="E313" s="76" t="n"/>
      <c r="F313" s="68">
        <f>E313+D313</f>
        <v/>
      </c>
      <c r="G313" s="69">
        <f>F313</f>
        <v/>
      </c>
      <c r="H313" s="214" t="n">
        <v>45156</v>
      </c>
      <c r="I313" s="216" t="inlineStr">
        <is>
          <t>PIX</t>
        </is>
      </c>
      <c r="J313" s="129" t="n"/>
      <c r="K313" s="236" t="n"/>
      <c r="L313" s="236" t="n"/>
      <c r="M313" s="236" t="n"/>
      <c r="N313" s="236" t="n"/>
      <c r="O313" s="236" t="n"/>
      <c r="P313" s="236" t="n"/>
    </row>
    <row r="314">
      <c r="A314" s="236" t="inlineStr">
        <is>
          <t>O campo uniano</t>
        </is>
      </c>
      <c r="B314" s="165" t="n">
        <v>1</v>
      </c>
      <c r="C314" s="68" t="n">
        <v>120</v>
      </c>
      <c r="D314" s="68">
        <f>C314*B314</f>
        <v/>
      </c>
      <c r="E314" s="76" t="n"/>
      <c r="F314" s="68">
        <f>E314+D314</f>
        <v/>
      </c>
      <c r="G314" s="69">
        <f>F314</f>
        <v/>
      </c>
      <c r="H314" s="214" t="n">
        <v>45156</v>
      </c>
      <c r="I314" s="216" t="inlineStr">
        <is>
          <t>PIX</t>
        </is>
      </c>
      <c r="J314" s="225" t="n"/>
      <c r="K314" s="236" t="n"/>
      <c r="L314" s="236" t="n"/>
      <c r="M314" s="236" t="n"/>
      <c r="N314" s="236" t="n"/>
      <c r="O314" s="236" t="n"/>
      <c r="P314" s="236" t="n"/>
    </row>
    <row r="315">
      <c r="A315" s="236" t="inlineStr">
        <is>
          <t>O campo uniano</t>
        </is>
      </c>
      <c r="B315" s="165" t="n">
        <v>1</v>
      </c>
      <c r="C315" s="68" t="n">
        <v>120</v>
      </c>
      <c r="D315" s="68">
        <f>C315*B315</f>
        <v/>
      </c>
      <c r="E315" s="76" t="n">
        <v>15</v>
      </c>
      <c r="F315" s="68">
        <f>E315+D315</f>
        <v/>
      </c>
      <c r="G315" s="69">
        <f>F315</f>
        <v/>
      </c>
      <c r="H315" s="214" t="n">
        <v>45156</v>
      </c>
      <c r="I315" s="216" t="inlineStr">
        <is>
          <t>PIX</t>
        </is>
      </c>
      <c r="J315" s="129" t="n"/>
      <c r="K315" s="236" t="n"/>
      <c r="L315" s="236" t="n"/>
      <c r="M315" s="236" t="n"/>
      <c r="N315" s="236" t="n"/>
      <c r="O315" s="236" t="n"/>
      <c r="P315" s="236" t="n"/>
    </row>
    <row r="316">
      <c r="A316" s="236" t="inlineStr">
        <is>
          <t>O campo uniano</t>
        </is>
      </c>
      <c r="B316" s="165" t="n">
        <v>1</v>
      </c>
      <c r="C316" s="68" t="n">
        <v>120</v>
      </c>
      <c r="D316" s="68">
        <f>C316*B316</f>
        <v/>
      </c>
      <c r="E316" s="76" t="n"/>
      <c r="F316" s="68">
        <f>E316+D316</f>
        <v/>
      </c>
      <c r="G316" s="69">
        <f>F316</f>
        <v/>
      </c>
      <c r="H316" s="214" t="n">
        <v>45156</v>
      </c>
      <c r="I316" s="216" t="inlineStr">
        <is>
          <t>PIX</t>
        </is>
      </c>
      <c r="J316" s="129" t="n"/>
      <c r="K316" s="236" t="n"/>
      <c r="L316" s="236" t="n"/>
      <c r="M316" s="236" t="n"/>
      <c r="N316" s="236" t="n"/>
      <c r="O316" s="236" t="n"/>
      <c r="P316" s="236" t="n"/>
    </row>
    <row r="317">
      <c r="A317" s="236" t="inlineStr">
        <is>
          <t>As Apaixonadas</t>
        </is>
      </c>
      <c r="B317" s="165" t="n">
        <v>1</v>
      </c>
      <c r="C317" s="68" t="n">
        <v>70</v>
      </c>
      <c r="D317" s="68">
        <f>C317*B317</f>
        <v/>
      </c>
      <c r="E317" s="76" t="n"/>
      <c r="F317" s="68">
        <f>E317+D317</f>
        <v/>
      </c>
      <c r="G317" s="69">
        <f>F317</f>
        <v/>
      </c>
      <c r="H317" s="214" t="n">
        <v>45156</v>
      </c>
      <c r="I317" s="216" t="inlineStr">
        <is>
          <t>PIX</t>
        </is>
      </c>
      <c r="J317" s="129" t="n"/>
      <c r="K317" s="236" t="n"/>
      <c r="L317" s="236" t="n"/>
      <c r="M317" s="236" t="n"/>
      <c r="N317" s="236" t="n"/>
      <c r="O317" s="236" t="n"/>
      <c r="P317" s="236" t="n"/>
    </row>
    <row r="318">
      <c r="A318" s="236" t="inlineStr">
        <is>
          <t>O campo uniano</t>
        </is>
      </c>
      <c r="B318" s="165" t="n">
        <v>1</v>
      </c>
      <c r="C318" s="68" t="n">
        <v>120</v>
      </c>
      <c r="D318" s="68">
        <f>C318*B318</f>
        <v/>
      </c>
      <c r="E318" s="76" t="n"/>
      <c r="F318" s="68">
        <f>E318+D318</f>
        <v/>
      </c>
      <c r="G318" s="69">
        <f>F318</f>
        <v/>
      </c>
      <c r="H318" s="214" t="n">
        <v>45156</v>
      </c>
      <c r="I318" s="216" t="inlineStr">
        <is>
          <t>PIX</t>
        </is>
      </c>
      <c r="J318" s="129" t="n"/>
      <c r="K318" s="236" t="n"/>
      <c r="L318" s="236" t="n"/>
      <c r="M318" s="236" t="n"/>
      <c r="N318" s="236" t="n"/>
      <c r="O318" s="236" t="n"/>
      <c r="P318" s="236" t="n"/>
    </row>
    <row r="319">
      <c r="A319" s="236" t="inlineStr">
        <is>
          <t>O campo uniano</t>
        </is>
      </c>
      <c r="B319" s="165" t="n">
        <v>1</v>
      </c>
      <c r="C319" s="68" t="n">
        <v>120</v>
      </c>
      <c r="D319" s="68">
        <f>C319*B319</f>
        <v/>
      </c>
      <c r="E319" s="76" t="n"/>
      <c r="F319" s="68">
        <f>E319+D319</f>
        <v/>
      </c>
      <c r="G319" s="69">
        <f>F319</f>
        <v/>
      </c>
      <c r="H319" s="214" t="n">
        <v>45156</v>
      </c>
      <c r="I319" s="216" t="inlineStr">
        <is>
          <t>PIX</t>
        </is>
      </c>
      <c r="J319" s="129" t="n"/>
      <c r="K319" s="236" t="n"/>
      <c r="L319" s="236" t="n"/>
      <c r="M319" s="236" t="n"/>
      <c r="N319" s="236" t="n"/>
      <c r="O319" s="236" t="n"/>
      <c r="P319" s="236" t="n"/>
    </row>
    <row r="320">
      <c r="A320" s="236" t="inlineStr">
        <is>
          <t>O campo uniano</t>
        </is>
      </c>
      <c r="B320" s="165" t="n">
        <v>1</v>
      </c>
      <c r="C320" s="68" t="n">
        <v>120</v>
      </c>
      <c r="D320" s="68">
        <f>C320*B320</f>
        <v/>
      </c>
      <c r="E320" s="76" t="n"/>
      <c r="F320" s="68">
        <f>E320+D320</f>
        <v/>
      </c>
      <c r="G320" s="69">
        <f>F320</f>
        <v/>
      </c>
      <c r="H320" s="214" t="n">
        <v>45156</v>
      </c>
      <c r="I320" s="216" t="inlineStr">
        <is>
          <t>PIX</t>
        </is>
      </c>
      <c r="J320" s="129" t="n"/>
      <c r="K320" s="236" t="n"/>
      <c r="L320" s="236" t="n"/>
      <c r="M320" s="236" t="n"/>
      <c r="N320" s="236" t="n"/>
      <c r="O320" s="236" t="n"/>
      <c r="P320" s="236" t="n"/>
    </row>
    <row r="321">
      <c r="A321" s="236" t="inlineStr">
        <is>
          <t>Entre o gozo e o desejo</t>
        </is>
      </c>
      <c r="B321" s="165" t="n">
        <v>1</v>
      </c>
      <c r="C321" s="68" t="n">
        <v>80</v>
      </c>
      <c r="D321" s="68">
        <f>C321*B321</f>
        <v/>
      </c>
      <c r="E321" s="76" t="n"/>
      <c r="F321" s="68">
        <f>E321+D321</f>
        <v/>
      </c>
      <c r="G321" s="69">
        <f>F321</f>
        <v/>
      </c>
      <c r="H321" s="214" t="n">
        <v>45156</v>
      </c>
      <c r="I321" s="216" t="inlineStr">
        <is>
          <t>PIX</t>
        </is>
      </c>
      <c r="J321" s="129" t="n"/>
      <c r="K321" s="236" t="n"/>
      <c r="L321" s="236" t="n"/>
      <c r="M321" s="236" t="n"/>
      <c r="N321" s="236" t="n"/>
      <c r="O321" s="236" t="n"/>
      <c r="P321" s="236" t="n"/>
    </row>
    <row r="322">
      <c r="A322" s="236" t="inlineStr">
        <is>
          <t>La Condición Femenina</t>
        </is>
      </c>
      <c r="B322" s="165" t="n">
        <v>1</v>
      </c>
      <c r="C322" s="68" t="n">
        <v>90</v>
      </c>
      <c r="D322" s="68">
        <f>C322*B322</f>
        <v/>
      </c>
      <c r="E322" s="76" t="n"/>
      <c r="F322" s="68">
        <f>E322+D322</f>
        <v/>
      </c>
      <c r="G322" s="69">
        <f>F322</f>
        <v/>
      </c>
      <c r="H322" s="214" t="n">
        <v>45157</v>
      </c>
      <c r="I322" s="216" t="inlineStr">
        <is>
          <t>PIX</t>
        </is>
      </c>
      <c r="J322" s="129" t="n"/>
      <c r="K322" s="236" t="n"/>
      <c r="L322" s="236" t="n"/>
      <c r="M322" s="236" t="n"/>
      <c r="N322" s="236" t="n"/>
      <c r="O322" s="236" t="n"/>
      <c r="P322" s="236" t="n"/>
    </row>
    <row r="323">
      <c r="A323" s="236" t="inlineStr">
        <is>
          <t>Sujeto Cuerpo Paelêtre</t>
        </is>
      </c>
      <c r="B323" s="165" t="n">
        <v>1</v>
      </c>
      <c r="C323" s="87" t="n">
        <v>80</v>
      </c>
      <c r="D323" s="87">
        <f>C323*B323</f>
        <v/>
      </c>
      <c r="E323" s="76" t="n">
        <v>15</v>
      </c>
      <c r="F323" s="87">
        <f>E323+D323</f>
        <v/>
      </c>
      <c r="G323" s="69">
        <f>F323</f>
        <v/>
      </c>
      <c r="H323" s="214" t="n">
        <v>45160</v>
      </c>
      <c r="I323" s="216" t="inlineStr">
        <is>
          <t>PIX</t>
        </is>
      </c>
      <c r="J323" s="129" t="n"/>
      <c r="K323" s="236" t="n"/>
      <c r="L323" s="236" t="n"/>
      <c r="M323" s="236" t="n"/>
      <c r="N323" s="236" t="n"/>
      <c r="O323" s="236" t="n"/>
      <c r="P323" s="236" t="n"/>
    </row>
    <row r="324">
      <c r="A324" s="236" t="inlineStr">
        <is>
          <t>Sujeto Cuerpo Paelêtre</t>
        </is>
      </c>
      <c r="B324" s="165" t="n">
        <v>1</v>
      </c>
      <c r="C324" s="87" t="n">
        <v>80</v>
      </c>
      <c r="D324" s="87">
        <f>C324*B324</f>
        <v/>
      </c>
      <c r="E324" s="76" t="n"/>
      <c r="F324" s="68">
        <f>E324+D324</f>
        <v/>
      </c>
      <c r="G324" s="69">
        <f>F324</f>
        <v/>
      </c>
      <c r="H324" s="214" t="n">
        <v>45160</v>
      </c>
      <c r="I324" s="216" t="inlineStr">
        <is>
          <t>PIX</t>
        </is>
      </c>
      <c r="J324" s="129" t="n"/>
      <c r="K324" s="236" t="n"/>
      <c r="L324" s="236" t="n"/>
      <c r="M324" s="236" t="n"/>
      <c r="N324" s="236" t="n"/>
      <c r="O324" s="236" t="n"/>
      <c r="P324" s="236" t="n"/>
    </row>
    <row r="325">
      <c r="A325" s="236" t="inlineStr">
        <is>
          <t>Sujeto Cuerpo Paelêtre</t>
        </is>
      </c>
      <c r="B325" s="165" t="n">
        <v>1</v>
      </c>
      <c r="C325" s="87" t="n">
        <v>80</v>
      </c>
      <c r="D325" s="87">
        <f>C325*B325</f>
        <v/>
      </c>
      <c r="E325" s="76" t="n">
        <v>15</v>
      </c>
      <c r="F325" s="68">
        <f>E325+D325</f>
        <v/>
      </c>
      <c r="G325" s="69">
        <f>F325</f>
        <v/>
      </c>
      <c r="H325" s="214" t="n">
        <v>45160</v>
      </c>
      <c r="I325" s="216" t="inlineStr">
        <is>
          <t>PIX</t>
        </is>
      </c>
      <c r="J325" s="129" t="n"/>
      <c r="K325" s="236" t="n"/>
      <c r="L325" s="236" t="n"/>
      <c r="M325" s="236" t="n"/>
      <c r="N325" s="236" t="n"/>
      <c r="O325" s="236" t="n"/>
      <c r="P325" s="236" t="n"/>
    </row>
    <row r="326">
      <c r="A326" s="236" t="inlineStr">
        <is>
          <t>El Fantasma, Aún</t>
        </is>
      </c>
      <c r="B326" s="165" t="n">
        <v>1</v>
      </c>
      <c r="C326" s="68" t="n">
        <v>80</v>
      </c>
      <c r="D326" s="68">
        <f>C326*B326</f>
        <v/>
      </c>
      <c r="E326" s="117" t="n"/>
      <c r="F326" s="68">
        <f>E326+D326+D327</f>
        <v/>
      </c>
      <c r="G326" s="69">
        <f>F326</f>
        <v/>
      </c>
      <c r="H326" s="214" t="n">
        <v>45160</v>
      </c>
      <c r="I326" s="216" t="inlineStr">
        <is>
          <t>PIX</t>
        </is>
      </c>
      <c r="J326" s="216" t="n"/>
      <c r="K326" s="236" t="n"/>
      <c r="L326" s="236" t="n"/>
      <c r="M326" s="236" t="n"/>
      <c r="N326" s="236" t="n"/>
      <c r="O326" s="236" t="n"/>
      <c r="P326" s="236" t="n"/>
    </row>
    <row r="327">
      <c r="A327" s="236" t="inlineStr">
        <is>
          <t>Entre o gozo e o desejo</t>
        </is>
      </c>
      <c r="B327" s="165" t="n">
        <v>1</v>
      </c>
      <c r="C327" s="68" t="n">
        <v>80</v>
      </c>
      <c r="D327" s="68">
        <f>C327*B327</f>
        <v/>
      </c>
      <c r="E327" s="340" t="n"/>
      <c r="F327" s="340" t="n"/>
      <c r="G327" s="340" t="n"/>
      <c r="H327" s="340" t="n"/>
      <c r="I327" s="340" t="n"/>
      <c r="J327" s="340" t="n"/>
      <c r="K327" s="236" t="n"/>
      <c r="L327" s="236" t="n"/>
      <c r="M327" s="236" t="n"/>
      <c r="N327" s="236" t="n"/>
      <c r="O327" s="236" t="n"/>
      <c r="P327" s="236" t="n"/>
    </row>
    <row r="328">
      <c r="A328" s="236" t="inlineStr">
        <is>
          <t>A função do pai em psicanálise</t>
        </is>
      </c>
      <c r="B328" s="165" t="n">
        <v>1</v>
      </c>
      <c r="C328" s="68" t="n">
        <v>60</v>
      </c>
      <c r="D328" s="68">
        <f>C328*B328</f>
        <v/>
      </c>
      <c r="E328" s="90" t="n"/>
      <c r="F328" s="68">
        <f>E328+D328</f>
        <v/>
      </c>
      <c r="G328" s="69">
        <f>F328</f>
        <v/>
      </c>
      <c r="H328" s="210" t="n">
        <v>45168</v>
      </c>
      <c r="I328" s="155" t="inlineStr">
        <is>
          <t>PIX</t>
        </is>
      </c>
      <c r="J328" s="155" t="n"/>
      <c r="K328" s="236" t="n"/>
      <c r="L328" s="236" t="n"/>
      <c r="M328" s="236" t="n"/>
      <c r="N328" s="236" t="n"/>
      <c r="O328" s="236" t="n"/>
      <c r="P328" s="236" t="n"/>
    </row>
    <row r="329">
      <c r="A329" s="236" t="inlineStr">
        <is>
          <t>Introducción a La Clínica Con Toxicomanías y Alcoholismo</t>
        </is>
      </c>
      <c r="B329" s="165" t="n">
        <v>1</v>
      </c>
      <c r="C329" s="68" t="n">
        <v>60</v>
      </c>
      <c r="D329" s="68">
        <f>C329*B329</f>
        <v/>
      </c>
      <c r="E329" s="117" t="n"/>
      <c r="F329" s="68">
        <f>E329+D329+D330+D331+D332</f>
        <v/>
      </c>
      <c r="G329" s="69">
        <f>F329</f>
        <v/>
      </c>
      <c r="H329" s="214" t="n">
        <v>45168</v>
      </c>
      <c r="I329" s="216" t="inlineStr">
        <is>
          <t>PIX</t>
        </is>
      </c>
      <c r="J329" s="216" t="n"/>
      <c r="K329" s="165" t="n"/>
      <c r="L329" s="236" t="n"/>
      <c r="M329" s="236" t="n"/>
      <c r="N329" s="236" t="n"/>
      <c r="O329" s="236" t="n"/>
      <c r="P329" s="236" t="n"/>
    </row>
    <row r="330">
      <c r="A330" s="236" t="inlineStr">
        <is>
          <t>Introducción a La Clínica Con Toxicomanías y Alcoholismo II</t>
        </is>
      </c>
      <c r="B330" s="165" t="n">
        <v>1</v>
      </c>
      <c r="C330" s="68" t="n">
        <v>60</v>
      </c>
      <c r="D330" s="68">
        <f>C330*B330</f>
        <v/>
      </c>
      <c r="E330" s="343" t="n"/>
      <c r="F330" s="343" t="n"/>
      <c r="G330" s="343" t="n"/>
      <c r="H330" s="343" t="n"/>
      <c r="I330" s="343" t="n"/>
      <c r="J330" s="343" t="n"/>
      <c r="K330" s="343" t="n"/>
      <c r="L330" s="236" t="n"/>
      <c r="M330" s="236" t="n"/>
      <c r="N330" s="236" t="n"/>
      <c r="O330" s="236" t="n"/>
      <c r="P330" s="236" t="n"/>
    </row>
    <row r="331">
      <c r="A331" s="236" t="inlineStr">
        <is>
          <t>Introducción a La Clínica Con Toxicomanías y Alcoholismo III</t>
        </is>
      </c>
      <c r="B331" s="165" t="n">
        <v>1</v>
      </c>
      <c r="C331" s="68" t="n">
        <v>65</v>
      </c>
      <c r="D331" s="68">
        <f>C331*B331</f>
        <v/>
      </c>
      <c r="E331" s="343" t="n"/>
      <c r="F331" s="343" t="n"/>
      <c r="G331" s="343" t="n"/>
      <c r="H331" s="343" t="n"/>
      <c r="I331" s="343" t="n"/>
      <c r="J331" s="343" t="n"/>
      <c r="K331" s="343" t="n"/>
      <c r="L331" s="236" t="n"/>
      <c r="M331" s="236" t="n"/>
      <c r="N331" s="236" t="n"/>
      <c r="O331" s="236" t="n"/>
      <c r="P331" s="236" t="n"/>
    </row>
    <row r="332">
      <c r="A332" s="236" t="inlineStr">
        <is>
          <t>El Fantasma, Aún</t>
        </is>
      </c>
      <c r="B332" s="165" t="n">
        <v>1</v>
      </c>
      <c r="C332" s="68" t="n">
        <v>80</v>
      </c>
      <c r="D332" s="68">
        <f>C332*B332</f>
        <v/>
      </c>
      <c r="E332" s="340" t="n"/>
      <c r="F332" s="340" t="n"/>
      <c r="G332" s="340" t="n"/>
      <c r="H332" s="340" t="n"/>
      <c r="I332" s="340" t="n"/>
      <c r="J332" s="340" t="n"/>
      <c r="K332" s="340" t="n"/>
      <c r="L332" s="236" t="n"/>
      <c r="M332" s="236" t="n"/>
      <c r="N332" s="236" t="n"/>
      <c r="O332" s="236" t="n"/>
      <c r="P332" s="236" t="n"/>
    </row>
    <row r="333">
      <c r="A333" s="236" t="inlineStr">
        <is>
          <t>Felicidade e Sintoma</t>
        </is>
      </c>
      <c r="B333" s="165" t="n">
        <v>1</v>
      </c>
      <c r="C333" s="68" t="n">
        <v>42</v>
      </c>
      <c r="D333" s="68">
        <f>C333*B333</f>
        <v/>
      </c>
      <c r="E333" s="90" t="n">
        <v>15</v>
      </c>
      <c r="F333" s="68">
        <f>E333+D333</f>
        <v/>
      </c>
      <c r="G333" s="229">
        <f>F333</f>
        <v/>
      </c>
      <c r="H333" s="214" t="n">
        <v>45170</v>
      </c>
      <c r="I333" s="216" t="inlineStr">
        <is>
          <t>PIX</t>
        </is>
      </c>
      <c r="J333" s="216" t="n"/>
      <c r="K333" s="236" t="n"/>
      <c r="L333" s="236" t="n"/>
      <c r="M333" s="236" t="n"/>
      <c r="N333" s="236" t="n"/>
      <c r="O333" s="236" t="n"/>
      <c r="P333" s="236" t="n"/>
    </row>
    <row r="334">
      <c r="A334" s="236" t="inlineStr">
        <is>
          <t>Sujeto Cuerpo Paelêtre</t>
        </is>
      </c>
      <c r="B334" s="165" t="n">
        <v>1</v>
      </c>
      <c r="C334" s="68" t="n">
        <v>80</v>
      </c>
      <c r="D334" s="68">
        <f>C334*B334</f>
        <v/>
      </c>
      <c r="E334" s="90" t="n">
        <v>15</v>
      </c>
      <c r="F334" s="68">
        <f>E334+D334</f>
        <v/>
      </c>
      <c r="G334" s="229">
        <f>F334</f>
        <v/>
      </c>
      <c r="H334" s="210" t="n">
        <v>45173</v>
      </c>
      <c r="I334" s="155" t="inlineStr">
        <is>
          <t>PIX</t>
        </is>
      </c>
      <c r="J334" s="155" t="n"/>
      <c r="K334" s="236" t="n"/>
      <c r="L334" s="236" t="n"/>
      <c r="M334" s="236" t="n"/>
      <c r="N334" s="236" t="n"/>
      <c r="O334" s="236" t="n"/>
      <c r="P334" s="236" t="n"/>
    </row>
    <row r="335">
      <c r="A335" s="236" t="inlineStr">
        <is>
          <t>Intervención sobre el nombre del padre</t>
        </is>
      </c>
      <c r="B335" s="165" t="n">
        <v>1</v>
      </c>
      <c r="C335" s="68" t="n">
        <v>75</v>
      </c>
      <c r="D335" s="68">
        <f>C335*B335</f>
        <v/>
      </c>
      <c r="E335" s="117" t="n"/>
      <c r="F335" s="68">
        <f>E335+D335+D336+D337+D338</f>
        <v/>
      </c>
      <c r="G335" s="69">
        <f>F335</f>
        <v/>
      </c>
      <c r="H335" s="214" t="n">
        <v>45175</v>
      </c>
      <c r="I335" s="216" t="inlineStr">
        <is>
          <t>PIX</t>
        </is>
      </c>
      <c r="J335" s="216" t="n"/>
      <c r="K335" s="236" t="n"/>
      <c r="L335" s="236" t="n"/>
      <c r="M335" s="236" t="n"/>
      <c r="N335" s="236" t="n"/>
      <c r="O335" s="236" t="n"/>
      <c r="P335" s="236" t="n"/>
    </row>
    <row r="336">
      <c r="A336" s="236" t="inlineStr">
        <is>
          <t>Pasiones Lacanianas</t>
        </is>
      </c>
      <c r="B336" s="165" t="n">
        <v>1</v>
      </c>
      <c r="C336" s="68" t="n">
        <v>85</v>
      </c>
      <c r="D336" s="68">
        <f>C336*B336</f>
        <v/>
      </c>
      <c r="E336" s="343" t="n"/>
      <c r="F336" s="343" t="n"/>
      <c r="G336" s="343" t="n"/>
      <c r="H336" s="343" t="n"/>
      <c r="I336" s="343" t="n"/>
      <c r="J336" s="343" t="n"/>
      <c r="K336" s="236" t="n"/>
      <c r="L336" s="236" t="n"/>
      <c r="M336" s="236" t="n"/>
      <c r="N336" s="236" t="n"/>
      <c r="O336" s="236" t="n"/>
      <c r="P336" s="236" t="n"/>
    </row>
    <row r="337">
      <c r="A337" s="236" t="inlineStr">
        <is>
          <t>El Fantasma, Aún</t>
        </is>
      </c>
      <c r="B337" s="165" t="n">
        <v>1</v>
      </c>
      <c r="C337" s="68" t="n">
        <v>80</v>
      </c>
      <c r="D337" s="68">
        <f>C337*B337</f>
        <v/>
      </c>
      <c r="E337" s="343" t="n"/>
      <c r="F337" s="343" t="n"/>
      <c r="G337" s="343" t="n"/>
      <c r="H337" s="343" t="n"/>
      <c r="I337" s="343" t="n"/>
      <c r="J337" s="343" t="n"/>
      <c r="K337" s="236" t="n"/>
      <c r="L337" s="236" t="n"/>
      <c r="M337" s="236" t="n"/>
      <c r="N337" s="236" t="n"/>
      <c r="O337" s="236" t="n"/>
      <c r="P337" s="236" t="n"/>
    </row>
    <row r="338">
      <c r="A338" s="236" t="inlineStr">
        <is>
          <t>El Nacimiento del Campo Freudiano</t>
        </is>
      </c>
      <c r="B338" s="165" t="n">
        <v>1</v>
      </c>
      <c r="C338" s="68" t="n">
        <v>180</v>
      </c>
      <c r="D338" s="68">
        <f>C338*B338</f>
        <v/>
      </c>
      <c r="E338" s="340" t="n"/>
      <c r="F338" s="340" t="n"/>
      <c r="G338" s="340" t="n"/>
      <c r="H338" s="340" t="n"/>
      <c r="I338" s="340" t="n"/>
      <c r="J338" s="340" t="n"/>
      <c r="K338" s="236" t="n"/>
      <c r="L338" s="236" t="n"/>
      <c r="M338" s="236" t="n"/>
      <c r="N338" s="236" t="n"/>
      <c r="O338" s="236" t="n"/>
      <c r="P338" s="236" t="n"/>
    </row>
    <row r="339">
      <c r="A339" s="236" t="inlineStr">
        <is>
          <t>O campo uniano</t>
        </is>
      </c>
      <c r="B339" s="165" t="n">
        <v>1</v>
      </c>
      <c r="C339" s="68" t="n">
        <v>120</v>
      </c>
      <c r="D339" s="68">
        <f>C339*B339</f>
        <v/>
      </c>
      <c r="E339" s="90" t="n"/>
      <c r="F339" s="68">
        <f>E339+D339</f>
        <v/>
      </c>
      <c r="G339" s="69">
        <f>F339</f>
        <v/>
      </c>
      <c r="H339" s="210" t="n">
        <v>45181</v>
      </c>
      <c r="I339" s="155" t="inlineStr">
        <is>
          <t>PIX</t>
        </is>
      </c>
      <c r="J339" s="155" t="n"/>
      <c r="K339" s="236" t="n"/>
      <c r="L339" s="236" t="n"/>
      <c r="M339" s="236" t="n"/>
      <c r="N339" s="236" t="n"/>
      <c r="O339" s="236" t="n"/>
      <c r="P339" s="236" t="n"/>
    </row>
    <row r="340">
      <c r="A340" s="236" t="inlineStr">
        <is>
          <t>O campo uniano</t>
        </is>
      </c>
      <c r="B340" s="165" t="n">
        <v>1</v>
      </c>
      <c r="C340" s="68" t="n">
        <v>120</v>
      </c>
      <c r="D340" s="68">
        <f>C340*B340</f>
        <v/>
      </c>
      <c r="E340" s="90" t="n"/>
      <c r="F340" s="68">
        <f>E340+D340</f>
        <v/>
      </c>
      <c r="G340" s="69">
        <f>F340</f>
        <v/>
      </c>
      <c r="H340" s="210" t="n">
        <v>45181</v>
      </c>
      <c r="I340" s="155" t="inlineStr">
        <is>
          <t>PIX</t>
        </is>
      </c>
      <c r="J340" s="155" t="n"/>
      <c r="K340" s="236" t="n"/>
      <c r="L340" s="236" t="n"/>
      <c r="M340" s="236" t="n"/>
      <c r="N340" s="236" t="n"/>
      <c r="O340" s="236" t="n"/>
      <c r="P340" s="236" t="n"/>
    </row>
    <row r="341">
      <c r="A341" s="236" t="inlineStr">
        <is>
          <t>O campo uniano</t>
        </is>
      </c>
      <c r="B341" s="165" t="n">
        <v>1</v>
      </c>
      <c r="C341" s="68" t="n">
        <v>120</v>
      </c>
      <c r="D341" s="68">
        <f>C341*B341</f>
        <v/>
      </c>
      <c r="E341" s="90" t="n">
        <v>15</v>
      </c>
      <c r="F341" s="68">
        <f>E341+D341</f>
        <v/>
      </c>
      <c r="G341" s="69">
        <f>F341</f>
        <v/>
      </c>
      <c r="H341" s="210" t="n">
        <v>45181</v>
      </c>
      <c r="I341" s="155" t="inlineStr">
        <is>
          <t>PIX</t>
        </is>
      </c>
      <c r="J341" s="155" t="n"/>
      <c r="K341" s="236" t="n"/>
      <c r="L341" s="236" t="n"/>
      <c r="M341" s="236" t="n"/>
      <c r="N341" s="236" t="n"/>
      <c r="O341" s="236" t="n"/>
      <c r="P341" s="236" t="n"/>
    </row>
    <row r="342">
      <c r="A342" s="236" t="inlineStr">
        <is>
          <t>O campo uniano</t>
        </is>
      </c>
      <c r="B342" s="165" t="n">
        <v>1</v>
      </c>
      <c r="C342" s="68" t="n">
        <v>120</v>
      </c>
      <c r="D342" s="68">
        <f>C342*B342</f>
        <v/>
      </c>
      <c r="E342" s="90" t="n"/>
      <c r="F342" s="68">
        <f>E342+D342</f>
        <v/>
      </c>
      <c r="G342" s="69">
        <f>F342</f>
        <v/>
      </c>
      <c r="H342" s="210" t="n">
        <v>45181</v>
      </c>
      <c r="I342" s="155" t="inlineStr">
        <is>
          <t>PIX</t>
        </is>
      </c>
      <c r="J342" s="155" t="n"/>
      <c r="K342" s="236" t="n"/>
      <c r="L342" s="236" t="n"/>
      <c r="M342" s="236" t="n"/>
      <c r="N342" s="236" t="n"/>
      <c r="O342" s="236" t="n"/>
      <c r="P342" s="236" t="n"/>
    </row>
    <row r="343">
      <c r="A343" s="236" t="inlineStr">
        <is>
          <t>O campo uniano</t>
        </is>
      </c>
      <c r="B343" s="165" t="n">
        <v>1</v>
      </c>
      <c r="C343" s="68" t="n">
        <v>120</v>
      </c>
      <c r="D343" s="68">
        <f>C343*B343</f>
        <v/>
      </c>
      <c r="E343" s="90" t="n">
        <v>15.3</v>
      </c>
      <c r="F343" s="68">
        <f>E343+D343</f>
        <v/>
      </c>
      <c r="G343" s="69">
        <f>F343</f>
        <v/>
      </c>
      <c r="H343" s="210" t="n">
        <v>45182</v>
      </c>
      <c r="I343" s="155" t="inlineStr">
        <is>
          <t>PIX</t>
        </is>
      </c>
      <c r="J343" s="155" t="n"/>
      <c r="K343" s="236" t="n"/>
      <c r="L343" s="236" t="n"/>
      <c r="M343" s="236" t="n"/>
      <c r="N343" s="236" t="n"/>
      <c r="O343" s="236" t="n"/>
      <c r="P343" s="236" t="n"/>
    </row>
    <row r="344">
      <c r="A344" s="236" t="inlineStr">
        <is>
          <t>O Campo Uniano</t>
        </is>
      </c>
      <c r="B344" s="165" t="n">
        <v>1</v>
      </c>
      <c r="C344" s="68" t="n">
        <v>120</v>
      </c>
      <c r="D344" s="68">
        <f>C344*B344</f>
        <v/>
      </c>
      <c r="E344" s="90" t="n"/>
      <c r="F344" s="68">
        <f>E344+D344</f>
        <v/>
      </c>
      <c r="G344" s="69">
        <f>F344</f>
        <v/>
      </c>
      <c r="H344" s="210" t="n">
        <v>45182</v>
      </c>
      <c r="I344" s="155" t="inlineStr">
        <is>
          <t>PIX</t>
        </is>
      </c>
      <c r="J344" s="155" t="n"/>
      <c r="K344" s="236" t="n"/>
      <c r="L344" s="236" t="n"/>
      <c r="M344" s="236" t="n"/>
      <c r="N344" s="236" t="n"/>
      <c r="O344" s="236" t="n"/>
      <c r="P344" s="236" t="n"/>
    </row>
    <row r="345">
      <c r="A345" s="236" t="inlineStr">
        <is>
          <t>O campo uniano</t>
        </is>
      </c>
      <c r="B345" s="165" t="n">
        <v>2</v>
      </c>
      <c r="C345" s="68" t="n">
        <v>120</v>
      </c>
      <c r="D345" s="68">
        <f>C345*B345</f>
        <v/>
      </c>
      <c r="E345" s="90" t="n"/>
      <c r="F345" s="68">
        <f>E345+D345</f>
        <v/>
      </c>
      <c r="G345" s="69">
        <f>F345</f>
        <v/>
      </c>
      <c r="H345" s="210" t="n">
        <v>45182</v>
      </c>
      <c r="I345" s="155" t="inlineStr">
        <is>
          <t>PIX</t>
        </is>
      </c>
      <c r="J345" s="155" t="n"/>
      <c r="K345" s="236" t="n"/>
      <c r="L345" s="236" t="n"/>
      <c r="M345" s="236" t="n"/>
      <c r="N345" s="236" t="n"/>
      <c r="O345" s="236" t="n"/>
      <c r="P345" s="236" t="n"/>
    </row>
    <row r="346">
      <c r="A346" s="236" t="inlineStr">
        <is>
          <t>O Campo Uniano</t>
        </is>
      </c>
      <c r="B346" s="165" t="n">
        <v>1</v>
      </c>
      <c r="C346" s="68" t="n">
        <v>120</v>
      </c>
      <c r="D346" s="68">
        <f>C346*B346</f>
        <v/>
      </c>
      <c r="E346" s="90" t="n"/>
      <c r="F346" s="68">
        <f>E346+D346</f>
        <v/>
      </c>
      <c r="G346" s="69">
        <f>F346</f>
        <v/>
      </c>
      <c r="H346" s="210" t="n">
        <v>45182</v>
      </c>
      <c r="I346" s="155" t="inlineStr">
        <is>
          <t>PIX</t>
        </is>
      </c>
      <c r="J346" s="155" t="n"/>
      <c r="K346" s="236" t="n"/>
      <c r="L346" s="236" t="n"/>
      <c r="M346" s="236" t="n"/>
      <c r="N346" s="236" t="n"/>
      <c r="O346" s="236" t="n"/>
      <c r="P346" s="236" t="n"/>
    </row>
    <row r="347">
      <c r="A347" s="236" t="inlineStr">
        <is>
          <t>O campo uniano</t>
        </is>
      </c>
      <c r="B347" s="165" t="n">
        <v>1</v>
      </c>
      <c r="C347" s="68" t="n">
        <v>120</v>
      </c>
      <c r="D347" s="68">
        <f>C347*B347</f>
        <v/>
      </c>
      <c r="E347" s="90" t="n"/>
      <c r="F347" s="68">
        <f>E347+D347</f>
        <v/>
      </c>
      <c r="G347" s="69">
        <f>F347</f>
        <v/>
      </c>
      <c r="H347" s="210" t="n">
        <v>45182</v>
      </c>
      <c r="I347" s="155" t="inlineStr">
        <is>
          <t>PIX</t>
        </is>
      </c>
      <c r="J347" s="155" t="n"/>
      <c r="K347" s="236" t="n"/>
      <c r="L347" s="236" t="n"/>
      <c r="M347" s="236" t="n"/>
      <c r="N347" s="236" t="n"/>
      <c r="O347" s="236" t="n"/>
      <c r="P347" s="236" t="n"/>
    </row>
    <row r="348">
      <c r="A348" s="236" t="inlineStr">
        <is>
          <t>Leituras do seminário... Ou pior de Jacques Lacan</t>
        </is>
      </c>
      <c r="B348" s="165" t="n">
        <v>1</v>
      </c>
      <c r="C348" s="68" t="n">
        <v>45.5</v>
      </c>
      <c r="D348" s="68">
        <f>C348*B348</f>
        <v/>
      </c>
      <c r="E348" s="90" t="n">
        <v>15</v>
      </c>
      <c r="F348" s="68">
        <f>E348+D348</f>
        <v/>
      </c>
      <c r="G348" s="69">
        <f>F348</f>
        <v/>
      </c>
      <c r="H348" s="210" t="n">
        <v>45187</v>
      </c>
      <c r="I348" s="155" t="inlineStr">
        <is>
          <t>PIX</t>
        </is>
      </c>
      <c r="J348" s="155" t="n"/>
      <c r="K348" s="236" t="n"/>
      <c r="L348" s="236" t="n"/>
      <c r="M348" s="236" t="n"/>
      <c r="N348" s="236" t="n"/>
      <c r="O348" s="236" t="n"/>
      <c r="P348" s="236" t="n"/>
    </row>
    <row r="349">
      <c r="A349" s="236" t="inlineStr">
        <is>
          <t xml:space="preserve">Introducción a La Clínica Con Toxicomanías y Alcoholismo </t>
        </is>
      </c>
      <c r="B349" s="165" t="n">
        <v>1</v>
      </c>
      <c r="C349" s="68" t="n">
        <v>60</v>
      </c>
      <c r="D349" s="68">
        <f>C349*B349</f>
        <v/>
      </c>
      <c r="E349" s="117" t="n"/>
      <c r="F349" s="68">
        <f>E349+D349+D350+D351+D352</f>
        <v/>
      </c>
      <c r="G349" s="69">
        <f>F349</f>
        <v/>
      </c>
      <c r="H349" s="214" t="n">
        <v>45187</v>
      </c>
      <c r="I349" s="216" t="inlineStr">
        <is>
          <t>PIX</t>
        </is>
      </c>
      <c r="J349" s="216" t="n"/>
      <c r="K349" s="165" t="n"/>
      <c r="L349" s="236" t="n"/>
      <c r="M349" s="236" t="n"/>
      <c r="N349" s="236" t="n"/>
      <c r="O349" s="236" t="n"/>
      <c r="P349" s="236" t="n"/>
    </row>
    <row r="350">
      <c r="A350" s="236" t="inlineStr">
        <is>
          <t>Introducción a La Clínica Con Toxicomanías y Alcoholismo II</t>
        </is>
      </c>
      <c r="B350" s="165" t="n">
        <v>1</v>
      </c>
      <c r="C350" s="68" t="n">
        <v>60</v>
      </c>
      <c r="D350" s="68">
        <f>C350*B350</f>
        <v/>
      </c>
      <c r="E350" s="343" t="n"/>
      <c r="F350" s="343" t="n"/>
      <c r="G350" s="343" t="n"/>
      <c r="H350" s="343" t="n"/>
      <c r="I350" s="343" t="n"/>
      <c r="J350" s="343" t="n"/>
      <c r="K350" s="343" t="n"/>
      <c r="L350" s="236" t="n"/>
      <c r="M350" s="236" t="n"/>
      <c r="N350" s="236" t="n"/>
      <c r="O350" s="236" t="n"/>
      <c r="P350" s="236" t="n"/>
    </row>
    <row r="351">
      <c r="A351" s="236" t="inlineStr">
        <is>
          <t>Introducción a La Clínica Con Toxicomanías y Alcoholismo III</t>
        </is>
      </c>
      <c r="B351" s="165" t="n">
        <v>1</v>
      </c>
      <c r="C351" s="68" t="n">
        <v>65</v>
      </c>
      <c r="D351" s="68">
        <f>C351*B351</f>
        <v/>
      </c>
      <c r="E351" s="343" t="n"/>
      <c r="F351" s="343" t="n"/>
      <c r="G351" s="343" t="n"/>
      <c r="H351" s="343" t="n"/>
      <c r="I351" s="343" t="n"/>
      <c r="J351" s="343" t="n"/>
      <c r="K351" s="343" t="n"/>
      <c r="L351" s="236" t="n"/>
      <c r="M351" s="236" t="n"/>
      <c r="N351" s="236" t="n"/>
      <c r="O351" s="236" t="n"/>
      <c r="P351" s="236" t="n"/>
    </row>
    <row r="352">
      <c r="A352" s="236" t="inlineStr">
        <is>
          <t>El Fantasma, Aún</t>
        </is>
      </c>
      <c r="B352" s="165" t="n">
        <v>1</v>
      </c>
      <c r="C352" s="68" t="n">
        <v>80</v>
      </c>
      <c r="D352" s="68">
        <f>C352*B352</f>
        <v/>
      </c>
      <c r="E352" s="340" t="n"/>
      <c r="F352" s="340" t="n"/>
      <c r="G352" s="340" t="n"/>
      <c r="H352" s="340" t="n"/>
      <c r="I352" s="340" t="n"/>
      <c r="J352" s="340" t="n"/>
      <c r="K352" s="340" t="n"/>
      <c r="L352" s="236" t="n"/>
      <c r="M352" s="236" t="n"/>
      <c r="N352" s="236" t="n"/>
      <c r="O352" s="236" t="n"/>
      <c r="P352" s="236" t="n"/>
    </row>
    <row r="353">
      <c r="A353" s="236" t="inlineStr">
        <is>
          <t>Entre o gozo e o desejo</t>
        </is>
      </c>
      <c r="B353" s="165" t="n">
        <v>1</v>
      </c>
      <c r="C353" s="68" t="n">
        <v>80</v>
      </c>
      <c r="D353" s="68">
        <f>C353*B353</f>
        <v/>
      </c>
      <c r="E353" s="90" t="n">
        <v>15</v>
      </c>
      <c r="F353" s="68">
        <f>E353+D353</f>
        <v/>
      </c>
      <c r="G353" s="69">
        <f>F353</f>
        <v/>
      </c>
      <c r="H353" s="210" t="n">
        <v>45187</v>
      </c>
      <c r="I353" s="155" t="inlineStr">
        <is>
          <t>PIX</t>
        </is>
      </c>
      <c r="J353" s="155" t="n"/>
      <c r="K353" s="236" t="n"/>
      <c r="L353" s="236" t="n"/>
      <c r="M353" s="236" t="n"/>
      <c r="N353" s="236" t="n"/>
      <c r="O353" s="236" t="n"/>
      <c r="P353" s="236" t="n"/>
    </row>
    <row r="354">
      <c r="A354" s="236" t="inlineStr">
        <is>
          <t>Leituras do seminário... Ou pior de Jacques Lacan</t>
        </is>
      </c>
      <c r="B354" s="165" t="n">
        <v>1</v>
      </c>
      <c r="C354" s="68" t="n">
        <v>45.5</v>
      </c>
      <c r="D354" s="68">
        <f>C354*B354</f>
        <v/>
      </c>
      <c r="E354" s="90" t="n">
        <v>15</v>
      </c>
      <c r="F354" s="68">
        <f>E354+D354</f>
        <v/>
      </c>
      <c r="G354" s="69">
        <f>F354</f>
        <v/>
      </c>
      <c r="H354" s="210" t="n">
        <v>45188</v>
      </c>
      <c r="I354" s="155" t="inlineStr">
        <is>
          <t>PIX</t>
        </is>
      </c>
      <c r="J354" s="155" t="n"/>
      <c r="K354" s="236" t="n"/>
      <c r="L354" s="236" t="n"/>
      <c r="M354" s="236" t="n"/>
      <c r="N354" s="236" t="n"/>
      <c r="O354" s="236" t="n"/>
      <c r="P354" s="236" t="n"/>
    </row>
    <row r="355">
      <c r="A355" s="236" t="inlineStr">
        <is>
          <t>O campo uniano</t>
        </is>
      </c>
      <c r="B355" s="165" t="n">
        <v>2</v>
      </c>
      <c r="C355" s="68" t="n">
        <v>120</v>
      </c>
      <c r="D355" s="68">
        <f>C355*B355</f>
        <v/>
      </c>
      <c r="E355" s="90" t="n"/>
      <c r="F355" s="68">
        <f>E355+D355</f>
        <v/>
      </c>
      <c r="G355" s="69">
        <f>F355</f>
        <v/>
      </c>
      <c r="H355" s="210" t="n">
        <v>45190</v>
      </c>
      <c r="I355" s="155" t="inlineStr">
        <is>
          <t>PIX</t>
        </is>
      </c>
      <c r="J355" s="155" t="n"/>
      <c r="K355" s="236" t="n"/>
      <c r="L355" s="236" t="n"/>
      <c r="M355" s="236" t="n"/>
      <c r="N355" s="236" t="n"/>
      <c r="O355" s="236" t="n"/>
      <c r="P355" s="236" t="n"/>
    </row>
    <row r="356">
      <c r="A356" s="236" t="inlineStr">
        <is>
          <t>O campo uniano</t>
        </is>
      </c>
      <c r="B356" s="165" t="n">
        <v>1</v>
      </c>
      <c r="C356" s="68" t="n">
        <v>120</v>
      </c>
      <c r="D356" s="68">
        <f>C356*B356</f>
        <v/>
      </c>
      <c r="E356" s="117" t="n"/>
      <c r="F356" s="68">
        <f>E356+D356+D357+D358+D359+D360</f>
        <v/>
      </c>
      <c r="G356" s="69">
        <f>F356</f>
        <v/>
      </c>
      <c r="H356" s="214" t="n">
        <v>45192</v>
      </c>
      <c r="I356" s="216" t="inlineStr">
        <is>
          <t>PIX</t>
        </is>
      </c>
      <c r="J356" s="216" t="n"/>
      <c r="K356" s="165" t="n"/>
      <c r="L356" s="236" t="n"/>
      <c r="M356" s="236" t="n"/>
      <c r="N356" s="236" t="n"/>
      <c r="O356" s="236" t="n"/>
      <c r="P356" s="236" t="n"/>
    </row>
    <row r="357">
      <c r="A357" s="236" t="inlineStr">
        <is>
          <t>El Nacimiento del Campo Freudiano</t>
        </is>
      </c>
      <c r="B357" s="165" t="n">
        <v>1</v>
      </c>
      <c r="C357" s="68" t="n">
        <v>180</v>
      </c>
      <c r="D357" s="68">
        <f>C357*B357</f>
        <v/>
      </c>
      <c r="E357" s="343" t="n"/>
      <c r="F357" s="343" t="n"/>
      <c r="G357" s="343" t="n"/>
      <c r="H357" s="343" t="n"/>
      <c r="I357" s="343" t="n"/>
      <c r="J357" s="343" t="n"/>
      <c r="K357" s="343" t="n"/>
      <c r="L357" s="236" t="n"/>
      <c r="M357" s="236" t="n"/>
      <c r="N357" s="236" t="n"/>
      <c r="O357" s="236" t="n"/>
      <c r="P357" s="236" t="n"/>
    </row>
    <row r="358">
      <c r="A358" s="236" t="inlineStr">
        <is>
          <t>La Mirada De Las Imágenes</t>
        </is>
      </c>
      <c r="B358" s="165" t="n">
        <v>1</v>
      </c>
      <c r="C358" s="68" t="n">
        <v>80</v>
      </c>
      <c r="D358" s="68">
        <f>C358*B358</f>
        <v/>
      </c>
      <c r="E358" s="343" t="n"/>
      <c r="F358" s="343" t="n"/>
      <c r="G358" s="343" t="n"/>
      <c r="H358" s="343" t="n"/>
      <c r="I358" s="343" t="n"/>
      <c r="J358" s="343" t="n"/>
      <c r="K358" s="343" t="n"/>
      <c r="L358" s="236" t="n"/>
      <c r="M358" s="236" t="n"/>
      <c r="N358" s="236" t="n"/>
      <c r="O358" s="236" t="n"/>
      <c r="P358" s="236" t="n"/>
    </row>
    <row r="359">
      <c r="A359" s="236" t="inlineStr">
        <is>
          <t>Pasiones Lacanianas</t>
        </is>
      </c>
      <c r="B359" s="165" t="n">
        <v>1</v>
      </c>
      <c r="C359" s="68" t="n">
        <v>85</v>
      </c>
      <c r="D359" s="68">
        <f>C359*B359</f>
        <v/>
      </c>
      <c r="E359" s="343" t="n"/>
      <c r="F359" s="343" t="n"/>
      <c r="G359" s="343" t="n"/>
      <c r="H359" s="343" t="n"/>
      <c r="I359" s="343" t="n"/>
      <c r="J359" s="343" t="n"/>
      <c r="K359" s="343" t="n"/>
      <c r="L359" s="236" t="n"/>
      <c r="M359" s="236" t="n"/>
      <c r="N359" s="236" t="n"/>
      <c r="O359" s="236" t="n"/>
      <c r="P359" s="236" t="n"/>
    </row>
    <row r="360">
      <c r="A360" s="236" t="inlineStr">
        <is>
          <t>Anatomía De La Modernidad</t>
        </is>
      </c>
      <c r="B360" s="165" t="n">
        <v>1</v>
      </c>
      <c r="C360" s="68" t="n">
        <v>75</v>
      </c>
      <c r="D360" s="68">
        <f>C360*B360</f>
        <v/>
      </c>
      <c r="E360" s="340" t="n"/>
      <c r="F360" s="340" t="n"/>
      <c r="G360" s="340" t="n"/>
      <c r="H360" s="340" t="n"/>
      <c r="I360" s="340" t="n"/>
      <c r="J360" s="340" t="n"/>
      <c r="K360" s="340" t="n"/>
      <c r="L360" s="236" t="n"/>
      <c r="M360" s="236" t="n"/>
      <c r="N360" s="236" t="n"/>
      <c r="O360" s="236" t="n"/>
      <c r="P360" s="236" t="n"/>
    </row>
    <row r="361">
      <c r="A361" s="236" t="inlineStr">
        <is>
          <t>La Condición Femenina</t>
        </is>
      </c>
      <c r="B361" s="165" t="n">
        <v>1</v>
      </c>
      <c r="C361" s="68" t="n">
        <v>90</v>
      </c>
      <c r="D361" s="68">
        <f>C361*B361</f>
        <v/>
      </c>
      <c r="E361" s="117" t="n"/>
      <c r="F361" s="68">
        <f>E361+D361+D362+D363</f>
        <v/>
      </c>
      <c r="G361" s="69">
        <f>F361</f>
        <v/>
      </c>
      <c r="H361" s="214" t="n">
        <v>45192</v>
      </c>
      <c r="I361" s="216" t="inlineStr">
        <is>
          <t>PIX</t>
        </is>
      </c>
      <c r="J361" s="216" t="n"/>
      <c r="K361" s="165" t="n"/>
      <c r="L361" s="236" t="n"/>
      <c r="M361" s="236" t="n"/>
      <c r="N361" s="236" t="n"/>
      <c r="O361" s="236" t="n"/>
      <c r="P361" s="236" t="n"/>
    </row>
    <row r="362">
      <c r="A362" s="236" t="inlineStr">
        <is>
          <t>Correio</t>
        </is>
      </c>
      <c r="B362" s="165" t="n">
        <v>1</v>
      </c>
      <c r="C362" s="68" t="n">
        <v>20</v>
      </c>
      <c r="D362" s="68">
        <f>C362*B362</f>
        <v/>
      </c>
      <c r="E362" s="343" t="n"/>
      <c r="F362" s="343" t="n"/>
      <c r="G362" s="343" t="n"/>
      <c r="H362" s="343" t="n"/>
      <c r="I362" s="343" t="n"/>
      <c r="J362" s="343" t="n"/>
      <c r="K362" s="343" t="n"/>
      <c r="L362" s="236" t="n"/>
      <c r="M362" s="236" t="n"/>
      <c r="N362" s="236" t="n"/>
      <c r="O362" s="236" t="n"/>
      <c r="P362" s="236" t="n"/>
    </row>
    <row r="363">
      <c r="A363" s="236" t="inlineStr">
        <is>
          <t>La Sexualidad Es Transgénero</t>
        </is>
      </c>
      <c r="B363" s="165" t="n">
        <v>1</v>
      </c>
      <c r="C363" s="68" t="n">
        <v>85</v>
      </c>
      <c r="D363" s="68">
        <f>C363*B363</f>
        <v/>
      </c>
      <c r="E363" s="340" t="n"/>
      <c r="F363" s="340" t="n"/>
      <c r="G363" s="340" t="n"/>
      <c r="H363" s="340" t="n"/>
      <c r="I363" s="340" t="n"/>
      <c r="J363" s="340" t="n"/>
      <c r="K363" s="340" t="n"/>
      <c r="L363" s="236" t="n"/>
      <c r="M363" s="236" t="n"/>
      <c r="N363" s="236" t="n"/>
      <c r="O363" s="236" t="n"/>
      <c r="P363" s="236" t="n"/>
    </row>
    <row r="364">
      <c r="A364" s="236" t="inlineStr">
        <is>
          <t>Anatomía De La Modernidad</t>
        </is>
      </c>
      <c r="B364" s="165" t="n">
        <v>1</v>
      </c>
      <c r="C364" s="68" t="n">
        <v>75</v>
      </c>
      <c r="D364" s="68">
        <f>C364*B364</f>
        <v/>
      </c>
      <c r="E364" s="117" t="n"/>
      <c r="F364" s="68">
        <f>E364+D364+D365</f>
        <v/>
      </c>
      <c r="G364" s="69">
        <f>F364</f>
        <v/>
      </c>
      <c r="H364" s="214" t="n">
        <v>45192</v>
      </c>
      <c r="I364" s="216" t="inlineStr">
        <is>
          <t>PIX</t>
        </is>
      </c>
      <c r="J364" s="216" t="n"/>
      <c r="K364" s="165" t="n"/>
      <c r="L364" s="236" t="n"/>
      <c r="M364" s="236" t="n"/>
      <c r="N364" s="236" t="n"/>
      <c r="O364" s="236" t="n"/>
      <c r="P364" s="236" t="n"/>
    </row>
    <row r="365">
      <c r="A365" s="236" t="inlineStr">
        <is>
          <t>O Feminino In-familiar</t>
        </is>
      </c>
      <c r="B365" s="165" t="n">
        <v>1</v>
      </c>
      <c r="C365" s="68" t="n">
        <v>55</v>
      </c>
      <c r="D365" s="68">
        <f>C365*B365</f>
        <v/>
      </c>
      <c r="E365" s="340" t="n"/>
      <c r="F365" s="340" t="n"/>
      <c r="G365" s="340" t="n"/>
      <c r="H365" s="340" t="n"/>
      <c r="I365" s="340" t="n"/>
      <c r="J365" s="340" t="n"/>
      <c r="K365" s="340" t="n"/>
      <c r="L365" s="236" t="n"/>
      <c r="M365" s="236" t="n"/>
      <c r="N365" s="236" t="n"/>
      <c r="O365" s="236" t="n"/>
      <c r="P365" s="236" t="n"/>
    </row>
    <row r="366">
      <c r="A366" s="236" t="inlineStr">
        <is>
          <t>Las Islas</t>
        </is>
      </c>
      <c r="B366" s="165" t="n">
        <v>1</v>
      </c>
      <c r="C366" s="68" t="n">
        <v>75</v>
      </c>
      <c r="D366" s="68">
        <f>C366*B366</f>
        <v/>
      </c>
      <c r="E366" s="90" t="n"/>
      <c r="F366" s="68">
        <f>E366+D366</f>
        <v/>
      </c>
      <c r="G366" s="69">
        <f>F366</f>
        <v/>
      </c>
      <c r="H366" s="210" t="n">
        <v>45192</v>
      </c>
      <c r="I366" s="155" t="inlineStr">
        <is>
          <t>PIX</t>
        </is>
      </c>
      <c r="J366" s="155" t="n"/>
      <c r="K366" s="94" t="n"/>
      <c r="L366" s="236" t="n"/>
      <c r="M366" s="236" t="n"/>
      <c r="N366" s="236" t="n"/>
      <c r="O366" s="236" t="n"/>
      <c r="P366" s="236" t="n"/>
    </row>
    <row r="367">
      <c r="A367" s="236" t="inlineStr">
        <is>
          <t>O Campo Uniano</t>
        </is>
      </c>
      <c r="B367" s="165" t="n">
        <v>1</v>
      </c>
      <c r="C367" s="68" t="n">
        <v>120</v>
      </c>
      <c r="D367" s="68">
        <f>C367*B367</f>
        <v/>
      </c>
      <c r="E367" s="90" t="n">
        <v>15</v>
      </c>
      <c r="F367" s="68">
        <f>E367+D367</f>
        <v/>
      </c>
      <c r="G367" s="69">
        <f>F367</f>
        <v/>
      </c>
      <c r="H367" s="210" t="n">
        <v>45194</v>
      </c>
      <c r="I367" s="155" t="inlineStr">
        <is>
          <t>PIX</t>
        </is>
      </c>
      <c r="J367" s="155" t="n"/>
      <c r="K367" s="236" t="n"/>
      <c r="L367" s="236" t="n"/>
      <c r="M367" s="236" t="n"/>
      <c r="N367" s="236" t="n"/>
      <c r="O367" s="236" t="n"/>
      <c r="P367" s="236" t="n"/>
    </row>
    <row r="368">
      <c r="A368" s="236" t="inlineStr">
        <is>
          <t xml:space="preserve"> A Recusa na Anorexia </t>
        </is>
      </c>
      <c r="B368" s="165" t="n">
        <v>1</v>
      </c>
      <c r="C368" s="68" t="n">
        <v>100</v>
      </c>
      <c r="D368" s="68">
        <f>C368*B368</f>
        <v/>
      </c>
      <c r="E368" s="90" t="n"/>
      <c r="F368" s="68">
        <f>E368+D368</f>
        <v/>
      </c>
      <c r="G368" s="69">
        <f>F368</f>
        <v/>
      </c>
      <c r="H368" s="210" t="n">
        <v>45196</v>
      </c>
      <c r="I368" s="155" t="inlineStr">
        <is>
          <t>PIX</t>
        </is>
      </c>
      <c r="J368" s="155" t="n"/>
      <c r="K368" s="236" t="n"/>
      <c r="L368" s="236" t="n"/>
      <c r="M368" s="236" t="n"/>
      <c r="N368" s="236" t="n"/>
      <c r="O368" s="236" t="n"/>
      <c r="P368" s="236" t="n"/>
    </row>
    <row r="369">
      <c r="A369" s="236" t="inlineStr">
        <is>
          <t>A Recusa na Anorexia</t>
        </is>
      </c>
      <c r="B369" s="165" t="n">
        <v>1</v>
      </c>
      <c r="C369" s="68" t="n">
        <v>100</v>
      </c>
      <c r="D369" s="68">
        <f>C369*B369</f>
        <v/>
      </c>
      <c r="E369" s="90" t="n"/>
      <c r="F369" s="68">
        <f>E369+D369</f>
        <v/>
      </c>
      <c r="G369" s="69">
        <f>F369</f>
        <v/>
      </c>
      <c r="H369" s="210" t="n">
        <v>45196</v>
      </c>
      <c r="I369" s="155" t="inlineStr">
        <is>
          <t>PIX</t>
        </is>
      </c>
      <c r="J369" s="155" t="n"/>
      <c r="K369" s="236" t="n"/>
      <c r="L369" s="236" t="n"/>
      <c r="M369" s="236" t="n"/>
      <c r="N369" s="236" t="n"/>
      <c r="O369" s="236" t="n"/>
      <c r="P369" s="236" t="n"/>
    </row>
    <row r="370">
      <c r="A370" s="236" t="inlineStr">
        <is>
          <t>A Recusa na Anorexia</t>
        </is>
      </c>
      <c r="B370" s="165" t="n">
        <v>1</v>
      </c>
      <c r="C370" s="68" t="n">
        <v>100</v>
      </c>
      <c r="D370" s="68">
        <f>C370*B370</f>
        <v/>
      </c>
      <c r="E370" s="90" t="n">
        <v>15</v>
      </c>
      <c r="F370" s="68">
        <f>E370+D370</f>
        <v/>
      </c>
      <c r="G370" s="69">
        <f>F370</f>
        <v/>
      </c>
      <c r="H370" s="210" t="n">
        <v>45197</v>
      </c>
      <c r="I370" s="155" t="inlineStr">
        <is>
          <t>PIX</t>
        </is>
      </c>
      <c r="J370" s="155" t="n"/>
      <c r="K370" s="236" t="n"/>
      <c r="L370" s="236" t="n"/>
      <c r="M370" s="236" t="n"/>
      <c r="N370" s="236" t="n"/>
      <c r="O370" s="236" t="n"/>
      <c r="P370" s="236" t="n"/>
    </row>
    <row r="371">
      <c r="A371" s="236" t="inlineStr">
        <is>
          <t>O campo uniano</t>
        </is>
      </c>
      <c r="B371" s="165" t="n">
        <v>1</v>
      </c>
      <c r="C371" s="68" t="n">
        <v>120</v>
      </c>
      <c r="D371" s="68">
        <f>C371*B371</f>
        <v/>
      </c>
      <c r="E371" s="90" t="n">
        <v>15</v>
      </c>
      <c r="F371" s="68">
        <f>E371+D371</f>
        <v/>
      </c>
      <c r="G371" s="69">
        <f>F371</f>
        <v/>
      </c>
      <c r="H371" s="210" t="n">
        <v>45197</v>
      </c>
      <c r="I371" s="155" t="inlineStr">
        <is>
          <t>PIX</t>
        </is>
      </c>
      <c r="J371" s="155" t="n"/>
      <c r="K371" s="236" t="n"/>
      <c r="L371" s="236" t="n"/>
      <c r="M371" s="236" t="n"/>
      <c r="N371" s="236" t="n"/>
      <c r="O371" s="236" t="n"/>
      <c r="P371" s="236" t="n"/>
    </row>
    <row r="372">
      <c r="A372" s="236" t="inlineStr">
        <is>
          <t>O Feminino In-familiar</t>
        </is>
      </c>
      <c r="B372" s="165" t="n">
        <v>1</v>
      </c>
      <c r="C372" s="68" t="n">
        <v>55</v>
      </c>
      <c r="D372" s="68">
        <f>C372*B372</f>
        <v/>
      </c>
      <c r="E372" s="90" t="n">
        <v>10.3</v>
      </c>
      <c r="F372" s="68">
        <f>E372+D372</f>
        <v/>
      </c>
      <c r="G372" s="69">
        <f>F372</f>
        <v/>
      </c>
      <c r="H372" s="210" t="n">
        <v>45203</v>
      </c>
      <c r="I372" s="155" t="inlineStr">
        <is>
          <t>PIX</t>
        </is>
      </c>
      <c r="J372" s="155" t="n"/>
      <c r="K372" s="236" t="n"/>
      <c r="L372" s="236" t="n"/>
      <c r="M372" s="236" t="n"/>
      <c r="N372" s="236" t="n"/>
      <c r="O372" s="236" t="n"/>
      <c r="P372" s="236" t="n"/>
    </row>
    <row r="373">
      <c r="A373" s="236" t="inlineStr">
        <is>
          <t>O Feminino In-familiar</t>
        </is>
      </c>
      <c r="B373" s="165" t="n">
        <v>1</v>
      </c>
      <c r="C373" s="68" t="n">
        <v>55</v>
      </c>
      <c r="D373" s="68">
        <f>C373*B373</f>
        <v/>
      </c>
      <c r="E373" s="117" t="n">
        <v>15.5</v>
      </c>
      <c r="F373" s="68">
        <f>E373+D373+D374</f>
        <v/>
      </c>
      <c r="G373" s="69">
        <f>F373</f>
        <v/>
      </c>
      <c r="H373" s="214" t="n">
        <v>45208</v>
      </c>
      <c r="I373" s="216" t="inlineStr">
        <is>
          <t>PIX</t>
        </is>
      </c>
      <c r="J373" s="216" t="n"/>
      <c r="K373" s="165" t="n"/>
      <c r="L373" s="236" t="n"/>
      <c r="M373" s="236" t="n"/>
      <c r="N373" s="236" t="n"/>
      <c r="O373" s="236" t="n"/>
      <c r="P373" s="236" t="n"/>
    </row>
    <row r="374">
      <c r="A374" s="236" t="inlineStr">
        <is>
          <t>El Fantasma, Aún</t>
        </is>
      </c>
      <c r="B374" s="165" t="n">
        <v>1</v>
      </c>
      <c r="C374" s="68" t="n">
        <v>80</v>
      </c>
      <c r="D374" s="68">
        <f>C374*B374</f>
        <v/>
      </c>
      <c r="E374" s="340" t="n"/>
      <c r="F374" s="340" t="n"/>
      <c r="G374" s="340" t="n"/>
      <c r="H374" s="340" t="n"/>
      <c r="I374" s="340" t="n"/>
      <c r="J374" s="340" t="n"/>
      <c r="K374" s="340" t="n"/>
      <c r="L374" s="236" t="n"/>
      <c r="M374" s="236" t="n"/>
      <c r="N374" s="236" t="n"/>
      <c r="O374" s="236" t="n"/>
      <c r="P374" s="236" t="n"/>
    </row>
    <row r="375">
      <c r="A375" s="236" t="inlineStr">
        <is>
          <t>O Feminino In-familiar</t>
        </is>
      </c>
      <c r="B375" s="165" t="n">
        <v>1</v>
      </c>
      <c r="C375" s="68" t="n">
        <v>55</v>
      </c>
      <c r="D375" s="68">
        <f>C375*B375</f>
        <v/>
      </c>
      <c r="E375" s="90" t="n"/>
      <c r="F375" s="68">
        <f>E375+D375</f>
        <v/>
      </c>
      <c r="G375" s="69">
        <f>F375</f>
        <v/>
      </c>
      <c r="H375" s="210" t="n">
        <v>45209</v>
      </c>
      <c r="I375" s="155" t="inlineStr">
        <is>
          <t>PIX</t>
        </is>
      </c>
      <c r="J375" s="155" t="n"/>
      <c r="K375" s="236" t="n"/>
      <c r="L375" s="236" t="n"/>
      <c r="M375" s="236" t="n"/>
      <c r="N375" s="236" t="n"/>
      <c r="O375" s="236" t="n"/>
      <c r="P375" s="236" t="n"/>
    </row>
    <row r="376">
      <c r="A376" s="236" t="inlineStr">
        <is>
          <t>Introducción a La Clínica Con Toxicomanías y Alcoholismo</t>
        </is>
      </c>
      <c r="B376" s="165" t="n">
        <v>2</v>
      </c>
      <c r="C376" s="68" t="n">
        <v>60</v>
      </c>
      <c r="D376" s="68">
        <f>C376*B376</f>
        <v/>
      </c>
      <c r="E376" s="90" t="n"/>
      <c r="F376" s="68">
        <f>E376+D376</f>
        <v/>
      </c>
      <c r="G376" s="69">
        <f>F376</f>
        <v/>
      </c>
      <c r="H376" s="214" t="n">
        <v>45209</v>
      </c>
      <c r="I376" s="216" t="inlineStr">
        <is>
          <t>PIX</t>
        </is>
      </c>
      <c r="J376" s="216" t="n"/>
      <c r="K376" s="236" t="n"/>
      <c r="L376" s="236" t="n"/>
      <c r="M376" s="236" t="n"/>
      <c r="N376" s="236" t="n"/>
      <c r="O376" s="236" t="n"/>
      <c r="P376" s="236" t="n"/>
    </row>
    <row r="377">
      <c r="A377" s="230" t="inlineStr">
        <is>
          <t>Agente 20</t>
        </is>
      </c>
      <c r="B377" s="165" t="n">
        <v>1</v>
      </c>
      <c r="C377" s="68" t="n">
        <v>70</v>
      </c>
      <c r="D377" s="68">
        <f>C377*B377</f>
        <v/>
      </c>
      <c r="E377" s="90" t="n"/>
      <c r="F377" s="68">
        <f>E377+D377</f>
        <v/>
      </c>
      <c r="G377" s="69">
        <f>F377</f>
        <v/>
      </c>
      <c r="H377" s="214" t="n">
        <v>45216</v>
      </c>
      <c r="I377" s="216" t="inlineStr">
        <is>
          <t>PIX</t>
        </is>
      </c>
      <c r="J377" s="216" t="n"/>
      <c r="K377" s="236" t="n"/>
      <c r="L377" s="236" t="n"/>
      <c r="M377" s="236" t="n"/>
      <c r="N377" s="236" t="n"/>
      <c r="O377" s="236" t="n"/>
      <c r="P377" s="236" t="n"/>
    </row>
    <row r="378">
      <c r="A378" s="236" t="inlineStr">
        <is>
          <t>Entre o gozo e o desejo</t>
        </is>
      </c>
      <c r="B378" s="165" t="n">
        <v>1</v>
      </c>
      <c r="C378" s="68" t="n">
        <v>80</v>
      </c>
      <c r="D378" s="68">
        <f>C378*B378</f>
        <v/>
      </c>
      <c r="E378" s="90" t="n"/>
      <c r="F378" s="68">
        <f>E378+D378</f>
        <v/>
      </c>
      <c r="G378" s="69">
        <f>F378</f>
        <v/>
      </c>
      <c r="H378" s="214" t="n">
        <v>45215</v>
      </c>
      <c r="I378" s="216" t="inlineStr">
        <is>
          <t>PIX</t>
        </is>
      </c>
      <c r="J378" s="129" t="n"/>
      <c r="K378" s="236" t="n"/>
      <c r="L378" s="236" t="n"/>
      <c r="M378" s="236" t="n"/>
      <c r="N378" s="236" t="n"/>
      <c r="O378" s="236" t="n"/>
      <c r="P378" s="236" t="n"/>
    </row>
    <row r="379">
      <c r="A379" s="236" t="inlineStr">
        <is>
          <t>Entre o gozo e o desejo</t>
        </is>
      </c>
      <c r="B379" s="165" t="n">
        <v>1</v>
      </c>
      <c r="C379" s="68" t="n">
        <v>80</v>
      </c>
      <c r="D379" s="68">
        <f>C379*B379</f>
        <v/>
      </c>
      <c r="E379" s="90" t="n"/>
      <c r="F379" s="68">
        <f>E379+D379</f>
        <v/>
      </c>
      <c r="G379" s="69">
        <f>F379</f>
        <v/>
      </c>
      <c r="H379" s="214" t="n">
        <v>45215</v>
      </c>
      <c r="I379" s="216" t="inlineStr">
        <is>
          <t>PIX</t>
        </is>
      </c>
      <c r="J379" s="216" t="n"/>
      <c r="K379" s="236" t="n"/>
      <c r="L379" s="236" t="n"/>
      <c r="M379" s="236" t="n"/>
      <c r="N379" s="236" t="n"/>
      <c r="O379" s="236" t="n"/>
      <c r="P379" s="236" t="n"/>
    </row>
    <row r="380">
      <c r="A380" s="236" t="inlineStr">
        <is>
          <t>O Feminino In-familiar</t>
        </is>
      </c>
      <c r="B380" s="165" t="n">
        <v>1</v>
      </c>
      <c r="C380" s="68" t="n">
        <v>55</v>
      </c>
      <c r="D380" s="68">
        <f>C380*B380</f>
        <v/>
      </c>
      <c r="E380" s="90" t="n"/>
      <c r="F380" s="68">
        <f>E380+D380</f>
        <v/>
      </c>
      <c r="G380" s="69">
        <f>F380</f>
        <v/>
      </c>
      <c r="H380" s="210" t="n">
        <v>45215</v>
      </c>
      <c r="I380" s="155" t="inlineStr">
        <is>
          <t>PIX</t>
        </is>
      </c>
      <c r="J380" s="155" t="n"/>
      <c r="K380" s="236" t="n"/>
      <c r="L380" s="236" t="n"/>
      <c r="M380" s="236" t="n"/>
      <c r="N380" s="236" t="n"/>
      <c r="O380" s="236" t="n"/>
      <c r="P380" s="236" t="n"/>
    </row>
    <row r="381">
      <c r="A381" s="236" t="inlineStr">
        <is>
          <t>Agente 19</t>
        </is>
      </c>
      <c r="B381" s="165" t="n">
        <v>1</v>
      </c>
      <c r="C381" s="68" t="n">
        <v>50</v>
      </c>
      <c r="D381" s="68">
        <f>C381*B381</f>
        <v/>
      </c>
      <c r="E381" s="90" t="n"/>
      <c r="F381" s="68">
        <f>E381+D381</f>
        <v/>
      </c>
      <c r="G381" s="69">
        <f>F381</f>
        <v/>
      </c>
      <c r="H381" s="210" t="n">
        <v>45215</v>
      </c>
      <c r="I381" s="155" t="inlineStr">
        <is>
          <t>PIX</t>
        </is>
      </c>
      <c r="J381" s="155" t="n"/>
      <c r="K381" s="236" t="n"/>
      <c r="L381" s="236" t="n"/>
      <c r="M381" s="236" t="n"/>
      <c r="N381" s="236" t="n"/>
      <c r="O381" s="236" t="n"/>
      <c r="P381" s="236" t="n"/>
    </row>
    <row r="382">
      <c r="A382" s="236" t="inlineStr">
        <is>
          <t>IPB Seminários - Nieves Soria</t>
        </is>
      </c>
      <c r="B382" s="165" t="n">
        <v>1</v>
      </c>
      <c r="C382" s="68" t="n">
        <v>50</v>
      </c>
      <c r="D382" s="68">
        <f>C382*B382</f>
        <v/>
      </c>
      <c r="E382" s="90" t="n"/>
      <c r="F382" s="68">
        <f>E382+D382</f>
        <v/>
      </c>
      <c r="G382" s="69">
        <f>F382</f>
        <v/>
      </c>
      <c r="H382" s="210" t="n">
        <v>45215</v>
      </c>
      <c r="I382" s="155" t="inlineStr">
        <is>
          <t>PIX</t>
        </is>
      </c>
      <c r="J382" s="155" t="n"/>
      <c r="K382" s="236" t="n"/>
      <c r="L382" s="236" t="n"/>
      <c r="M382" s="236" t="n"/>
      <c r="N382" s="236" t="n"/>
      <c r="O382" s="236" t="n"/>
      <c r="P382" s="236" t="n"/>
    </row>
    <row r="383">
      <c r="A383" s="236" t="inlineStr">
        <is>
          <t>IPB Seminários - Nieves Soria</t>
        </is>
      </c>
      <c r="B383" s="165" t="n">
        <v>1</v>
      </c>
      <c r="C383" s="68" t="n">
        <v>50</v>
      </c>
      <c r="D383" s="68">
        <f>C383*B383</f>
        <v/>
      </c>
      <c r="E383" s="90" t="n"/>
      <c r="F383" s="68">
        <f>E383+D383</f>
        <v/>
      </c>
      <c r="G383" s="69">
        <f>F383</f>
        <v/>
      </c>
      <c r="H383" s="210" t="n">
        <v>45216</v>
      </c>
      <c r="I383" s="155" t="inlineStr">
        <is>
          <t>PIX</t>
        </is>
      </c>
      <c r="J383" s="155" t="n"/>
      <c r="K383" s="236" t="n"/>
      <c r="L383" s="236" t="n"/>
      <c r="M383" s="236" t="n"/>
      <c r="N383" s="236" t="n"/>
      <c r="O383" s="236" t="n"/>
      <c r="P383" s="236" t="n"/>
    </row>
    <row r="384">
      <c r="A384" s="236" t="inlineStr">
        <is>
          <t>Entre o gozo e o desejo</t>
        </is>
      </c>
      <c r="B384" s="165" t="n">
        <v>1</v>
      </c>
      <c r="C384" s="68" t="n">
        <v>80</v>
      </c>
      <c r="D384" s="68">
        <f>C384*B384</f>
        <v/>
      </c>
      <c r="E384" s="117" t="n"/>
      <c r="F384" s="68">
        <f>E384+D384+D385</f>
        <v/>
      </c>
      <c r="G384" s="69">
        <f>F384</f>
        <v/>
      </c>
      <c r="H384" s="214" t="n">
        <v>45215</v>
      </c>
      <c r="I384" s="216" t="inlineStr">
        <is>
          <t>PIX</t>
        </is>
      </c>
      <c r="J384" s="216" t="n"/>
      <c r="K384" s="236" t="n"/>
      <c r="L384" s="236" t="n"/>
      <c r="M384" s="236" t="n"/>
      <c r="N384" s="236" t="n"/>
      <c r="O384" s="236" t="n"/>
      <c r="P384" s="236" t="n"/>
    </row>
    <row r="385">
      <c r="A385" s="236" t="inlineStr">
        <is>
          <t>IPB Seminários - Nieves Soria</t>
        </is>
      </c>
      <c r="B385" s="165" t="n">
        <v>1</v>
      </c>
      <c r="C385" s="68" t="n">
        <v>50</v>
      </c>
      <c r="D385" s="68">
        <f>C385*B385</f>
        <v/>
      </c>
      <c r="E385" s="340" t="n"/>
      <c r="F385" s="340" t="n"/>
      <c r="G385" s="340" t="n"/>
      <c r="H385" s="340" t="n"/>
      <c r="I385" s="340" t="n"/>
      <c r="J385" s="340" t="n"/>
      <c r="K385" s="236" t="n"/>
      <c r="L385" s="236" t="n"/>
      <c r="M385" s="236" t="n"/>
      <c r="N385" s="236" t="n"/>
      <c r="O385" s="236" t="n"/>
      <c r="P385" s="236" t="n"/>
    </row>
    <row r="386">
      <c r="A386" s="236" t="inlineStr">
        <is>
          <t>Entre o gozo e o desejo</t>
        </is>
      </c>
      <c r="B386" s="165" t="n">
        <v>1</v>
      </c>
      <c r="C386" s="68" t="n">
        <v>80</v>
      </c>
      <c r="D386" s="68">
        <f>C386*B386</f>
        <v/>
      </c>
      <c r="E386" s="90" t="n"/>
      <c r="F386" s="68">
        <f>E386+D386</f>
        <v/>
      </c>
      <c r="G386" s="69">
        <f>F386</f>
        <v/>
      </c>
      <c r="H386" s="210" t="n">
        <v>45215</v>
      </c>
      <c r="I386" s="155" t="inlineStr">
        <is>
          <t>PIX</t>
        </is>
      </c>
      <c r="J386" s="155" t="n"/>
      <c r="K386" s="236" t="n"/>
      <c r="L386" s="236" t="n"/>
      <c r="M386" s="236" t="n"/>
      <c r="N386" s="236" t="n"/>
      <c r="O386" s="236" t="n"/>
      <c r="P386" s="236" t="n"/>
    </row>
    <row r="387">
      <c r="A387" s="236" t="inlineStr">
        <is>
          <t>Porvenir Del Autismo</t>
        </is>
      </c>
      <c r="B387" s="165" t="n">
        <v>1</v>
      </c>
      <c r="C387" s="68" t="n">
        <v>120</v>
      </c>
      <c r="D387" s="68">
        <f>C387*B387</f>
        <v/>
      </c>
      <c r="E387" s="90" t="n"/>
      <c r="F387" s="68">
        <f>E387+D387</f>
        <v/>
      </c>
      <c r="G387" s="69">
        <f>F387</f>
        <v/>
      </c>
      <c r="H387" s="210" t="n">
        <v>45217</v>
      </c>
      <c r="I387" s="155" t="inlineStr">
        <is>
          <t>PIX</t>
        </is>
      </c>
      <c r="J387" s="155" t="n"/>
      <c r="K387" s="236" t="n"/>
      <c r="L387" s="236" t="n"/>
      <c r="M387" s="236" t="n"/>
      <c r="N387" s="236" t="n"/>
      <c r="O387" s="236" t="n"/>
      <c r="P387" s="236" t="n"/>
    </row>
    <row r="388">
      <c r="A388" s="236" t="inlineStr">
        <is>
          <t>Correio 53</t>
        </is>
      </c>
      <c r="B388" s="165" t="n">
        <v>1</v>
      </c>
      <c r="C388" s="68" t="n">
        <v>10</v>
      </c>
      <c r="D388" s="68">
        <f>C388*B388</f>
        <v/>
      </c>
      <c r="E388" s="117" t="n"/>
      <c r="F388" s="68">
        <f>E388+D388+D389+D390+D391+D392+D393</f>
        <v/>
      </c>
      <c r="G388" s="69">
        <f>F388</f>
        <v/>
      </c>
      <c r="H388" s="214" t="n">
        <v>45217</v>
      </c>
      <c r="I388" s="216" t="inlineStr">
        <is>
          <t>PIX</t>
        </is>
      </c>
      <c r="J388" s="216" t="n"/>
      <c r="K388" s="236" t="n"/>
      <c r="L388" s="236" t="n"/>
      <c r="M388" s="236" t="n"/>
      <c r="N388" s="236" t="n"/>
      <c r="O388" s="236" t="n"/>
      <c r="P388" s="236" t="n"/>
    </row>
    <row r="389">
      <c r="A389" s="236" t="inlineStr">
        <is>
          <t>Correio 54</t>
        </is>
      </c>
      <c r="B389" s="165" t="n">
        <v>1</v>
      </c>
      <c r="C389" s="68" t="n">
        <v>10</v>
      </c>
      <c r="D389" s="68">
        <f>C389*B389</f>
        <v/>
      </c>
      <c r="E389" s="343" t="n"/>
      <c r="F389" s="343" t="n"/>
      <c r="G389" s="343" t="n"/>
      <c r="H389" s="343" t="n"/>
      <c r="I389" s="343" t="n"/>
      <c r="J389" s="343" t="n"/>
      <c r="K389" s="236" t="n"/>
      <c r="L389" s="236" t="n"/>
      <c r="M389" s="236" t="n"/>
      <c r="N389" s="236" t="n"/>
      <c r="O389" s="236" t="n"/>
      <c r="P389" s="236" t="n"/>
    </row>
    <row r="390">
      <c r="A390" s="236" t="inlineStr">
        <is>
          <t>Correio 57</t>
        </is>
      </c>
      <c r="B390" s="165" t="n">
        <v>1</v>
      </c>
      <c r="C390" s="68" t="n">
        <v>10</v>
      </c>
      <c r="D390" s="68">
        <f>C390*B390</f>
        <v/>
      </c>
      <c r="E390" s="343" t="n"/>
      <c r="F390" s="343" t="n"/>
      <c r="G390" s="343" t="n"/>
      <c r="H390" s="343" t="n"/>
      <c r="I390" s="343" t="n"/>
      <c r="J390" s="343" t="n"/>
      <c r="K390" s="236" t="n"/>
      <c r="L390" s="236" t="n"/>
      <c r="M390" s="236" t="n"/>
      <c r="N390" s="236" t="n"/>
      <c r="O390" s="236" t="n"/>
      <c r="P390" s="236" t="n"/>
    </row>
    <row r="391">
      <c r="A391" s="236" t="inlineStr">
        <is>
          <t>Correio 75</t>
        </is>
      </c>
      <c r="B391" s="165" t="n">
        <v>1</v>
      </c>
      <c r="C391" s="68" t="n">
        <v>10</v>
      </c>
      <c r="D391" s="68">
        <f>C391*B391</f>
        <v/>
      </c>
      <c r="E391" s="343" t="n"/>
      <c r="F391" s="343" t="n"/>
      <c r="G391" s="343" t="n"/>
      <c r="H391" s="343" t="n"/>
      <c r="I391" s="343" t="n"/>
      <c r="J391" s="343" t="n"/>
      <c r="K391" s="236" t="n"/>
      <c r="L391" s="236" t="n"/>
      <c r="M391" s="236" t="n"/>
      <c r="N391" s="236" t="n"/>
      <c r="O391" s="236" t="n"/>
      <c r="P391" s="236" t="n"/>
    </row>
    <row r="392">
      <c r="A392" s="236" t="inlineStr">
        <is>
          <t>Correio 76</t>
        </is>
      </c>
      <c r="B392" s="165" t="n">
        <v>1</v>
      </c>
      <c r="C392" s="68" t="n">
        <v>10</v>
      </c>
      <c r="D392" s="68">
        <f>C392*B392</f>
        <v/>
      </c>
      <c r="E392" s="343" t="n"/>
      <c r="F392" s="343" t="n"/>
      <c r="G392" s="343" t="n"/>
      <c r="H392" s="343" t="n"/>
      <c r="I392" s="343" t="n"/>
      <c r="J392" s="343" t="n"/>
      <c r="K392" s="236" t="n"/>
      <c r="L392" s="236" t="n"/>
      <c r="M392" s="236" t="n"/>
      <c r="N392" s="236" t="n"/>
      <c r="O392" s="236" t="n"/>
      <c r="P392" s="236" t="n"/>
    </row>
    <row r="393">
      <c r="A393" s="236" t="inlineStr">
        <is>
          <t>Correio especial</t>
        </is>
      </c>
      <c r="B393" s="165" t="n">
        <v>1</v>
      </c>
      <c r="C393" s="68" t="n">
        <v>10</v>
      </c>
      <c r="D393" s="68">
        <f>C393*B393</f>
        <v/>
      </c>
      <c r="E393" s="340" t="n"/>
      <c r="F393" s="340" t="n"/>
      <c r="G393" s="340" t="n"/>
      <c r="H393" s="340" t="n"/>
      <c r="I393" s="340" t="n"/>
      <c r="J393" s="340" t="n"/>
      <c r="K393" s="236" t="n"/>
      <c r="L393" s="236" t="n"/>
      <c r="M393" s="236" t="n"/>
      <c r="N393" s="236" t="n"/>
      <c r="O393" s="236" t="n"/>
      <c r="P393" s="236" t="n"/>
    </row>
    <row r="394">
      <c r="A394" s="236" t="inlineStr">
        <is>
          <t>Correio 53</t>
        </is>
      </c>
      <c r="B394" s="165" t="n">
        <v>1</v>
      </c>
      <c r="C394" s="68" t="n">
        <v>10</v>
      </c>
      <c r="D394" s="68">
        <f>C394*B394</f>
        <v/>
      </c>
      <c r="E394" s="117" t="n"/>
      <c r="F394" s="68">
        <f>E394+D394+D395</f>
        <v/>
      </c>
      <c r="G394" s="239">
        <f>F394</f>
        <v/>
      </c>
      <c r="H394" s="214" t="n">
        <v>45217</v>
      </c>
      <c r="I394" s="216" t="inlineStr">
        <is>
          <t>PIX</t>
        </is>
      </c>
      <c r="J394" s="216" t="n"/>
      <c r="K394" s="236" t="n"/>
      <c r="L394" s="236" t="n"/>
      <c r="M394" s="236" t="n"/>
      <c r="N394" s="236" t="n"/>
      <c r="O394" s="236" t="n"/>
      <c r="P394" s="236" t="n"/>
    </row>
    <row r="395">
      <c r="A395" s="236" t="inlineStr">
        <is>
          <t>Correio 76</t>
        </is>
      </c>
      <c r="B395" s="165" t="n">
        <v>1</v>
      </c>
      <c r="C395" s="68" t="n">
        <v>10</v>
      </c>
      <c r="D395" s="68">
        <f>C395*B395</f>
        <v/>
      </c>
      <c r="E395" s="340" t="n"/>
      <c r="F395" s="340" t="n"/>
      <c r="G395" s="340" t="n"/>
      <c r="H395" s="340" t="n"/>
      <c r="I395" s="340" t="n"/>
      <c r="J395" s="340" t="n"/>
      <c r="K395" s="236" t="n"/>
      <c r="L395" s="236" t="n"/>
      <c r="M395" s="236" t="n"/>
      <c r="N395" s="236" t="n"/>
      <c r="O395" s="236" t="n"/>
      <c r="P395" s="236" t="n"/>
    </row>
    <row r="396">
      <c r="A396" s="236" t="inlineStr">
        <is>
          <t>Correio 53</t>
        </is>
      </c>
      <c r="B396" s="165" t="n">
        <v>1</v>
      </c>
      <c r="C396" s="68" t="n">
        <v>10</v>
      </c>
      <c r="D396" s="68">
        <f>C396*B396</f>
        <v/>
      </c>
      <c r="E396" s="117" t="n"/>
      <c r="F396" s="68">
        <f>E396+D396+D397+D398+D399+D400+D401</f>
        <v/>
      </c>
      <c r="G396" s="69">
        <f>F396</f>
        <v/>
      </c>
      <c r="H396" s="214" t="n">
        <v>45217</v>
      </c>
      <c r="I396" s="216" t="inlineStr">
        <is>
          <t>PIX</t>
        </is>
      </c>
      <c r="J396" s="216" t="n"/>
      <c r="K396" s="236" t="n"/>
      <c r="L396" s="236" t="n"/>
      <c r="M396" s="236" t="n"/>
      <c r="N396" s="236" t="n"/>
      <c r="O396" s="236" t="n"/>
      <c r="P396" s="236" t="n"/>
    </row>
    <row r="397">
      <c r="A397" s="236" t="inlineStr">
        <is>
          <t>Correio 54</t>
        </is>
      </c>
      <c r="B397" s="165" t="n">
        <v>1</v>
      </c>
      <c r="C397" s="68" t="n">
        <v>10</v>
      </c>
      <c r="D397" s="68">
        <f>C397*B397</f>
        <v/>
      </c>
      <c r="E397" s="343" t="n"/>
      <c r="F397" s="343" t="n"/>
      <c r="G397" s="343" t="n"/>
      <c r="H397" s="343" t="n"/>
      <c r="I397" s="343" t="n"/>
      <c r="J397" s="343" t="n"/>
      <c r="K397" s="236" t="n"/>
      <c r="L397" s="236" t="n"/>
      <c r="M397" s="236" t="n"/>
      <c r="N397" s="236" t="n"/>
      <c r="O397" s="236" t="n"/>
      <c r="P397" s="236" t="n"/>
    </row>
    <row r="398">
      <c r="A398" s="236" t="inlineStr">
        <is>
          <t>Correio 57</t>
        </is>
      </c>
      <c r="B398" s="165" t="n">
        <v>1</v>
      </c>
      <c r="C398" s="68" t="n">
        <v>10</v>
      </c>
      <c r="D398" s="68">
        <f>C398*B398</f>
        <v/>
      </c>
      <c r="E398" s="343" t="n"/>
      <c r="F398" s="343" t="n"/>
      <c r="G398" s="343" t="n"/>
      <c r="H398" s="343" t="n"/>
      <c r="I398" s="343" t="n"/>
      <c r="J398" s="343" t="n"/>
      <c r="K398" s="236" t="n"/>
      <c r="L398" s="236" t="n"/>
      <c r="M398" s="236" t="n"/>
      <c r="N398" s="236" t="n"/>
      <c r="O398" s="236" t="n"/>
      <c r="P398" s="236" t="n"/>
    </row>
    <row r="399">
      <c r="A399" s="236" t="inlineStr">
        <is>
          <t>Correio 75</t>
        </is>
      </c>
      <c r="B399" s="165" t="n">
        <v>1</v>
      </c>
      <c r="C399" s="68" t="n">
        <v>10</v>
      </c>
      <c r="D399" s="68">
        <f>C399*B399</f>
        <v/>
      </c>
      <c r="E399" s="343" t="n"/>
      <c r="F399" s="343" t="n"/>
      <c r="G399" s="343" t="n"/>
      <c r="H399" s="343" t="n"/>
      <c r="I399" s="343" t="n"/>
      <c r="J399" s="343" t="n"/>
      <c r="K399" s="236" t="n"/>
      <c r="L399" s="236" t="n"/>
      <c r="M399" s="236" t="n"/>
      <c r="N399" s="236" t="n"/>
      <c r="O399" s="236" t="n"/>
      <c r="P399" s="236" t="n"/>
    </row>
    <row r="400">
      <c r="A400" s="236" t="inlineStr">
        <is>
          <t>Correio 76</t>
        </is>
      </c>
      <c r="B400" s="165" t="n">
        <v>1</v>
      </c>
      <c r="C400" s="68" t="n">
        <v>10</v>
      </c>
      <c r="D400" s="68">
        <f>C400*B400</f>
        <v/>
      </c>
      <c r="E400" s="343" t="n"/>
      <c r="F400" s="343" t="n"/>
      <c r="G400" s="343" t="n"/>
      <c r="H400" s="343" t="n"/>
      <c r="I400" s="343" t="n"/>
      <c r="J400" s="343" t="n"/>
      <c r="K400" s="236" t="n"/>
      <c r="L400" s="236" t="n"/>
      <c r="M400" s="236" t="n"/>
      <c r="N400" s="236" t="n"/>
      <c r="O400" s="236" t="n"/>
      <c r="P400" s="236" t="n"/>
    </row>
    <row r="401">
      <c r="A401" s="236" t="inlineStr">
        <is>
          <t>Correio especial</t>
        </is>
      </c>
      <c r="B401" s="165" t="n">
        <v>1</v>
      </c>
      <c r="C401" s="68" t="n">
        <v>10</v>
      </c>
      <c r="D401" s="68">
        <f>C401*B401</f>
        <v/>
      </c>
      <c r="E401" s="340" t="n"/>
      <c r="F401" s="340" t="n"/>
      <c r="G401" s="340" t="n"/>
      <c r="H401" s="340" t="n"/>
      <c r="I401" s="340" t="n"/>
      <c r="J401" s="340" t="n"/>
      <c r="K401" s="236" t="n"/>
      <c r="L401" s="236" t="n"/>
      <c r="M401" s="236" t="n"/>
      <c r="N401" s="236" t="n"/>
      <c r="O401" s="236" t="n"/>
      <c r="P401" s="236" t="n"/>
    </row>
    <row r="402">
      <c r="A402" s="236" t="inlineStr">
        <is>
          <t>IPB Seminários - Nieves Soria</t>
        </is>
      </c>
      <c r="B402" s="165" t="n">
        <v>1</v>
      </c>
      <c r="C402" s="68" t="n">
        <v>20</v>
      </c>
      <c r="D402" s="68">
        <f>C402*B402</f>
        <v/>
      </c>
      <c r="E402" s="90" t="n"/>
      <c r="F402" s="68">
        <f>E402+D402</f>
        <v/>
      </c>
      <c r="G402" s="239">
        <f>F402</f>
        <v/>
      </c>
      <c r="H402" s="240" t="n">
        <v>45218</v>
      </c>
      <c r="I402" s="241" t="inlineStr">
        <is>
          <t>PIX</t>
        </is>
      </c>
      <c r="J402" s="241" t="n"/>
      <c r="K402" s="236" t="n"/>
      <c r="L402" s="236" t="n"/>
      <c r="M402" s="236" t="n"/>
      <c r="N402" s="236" t="n"/>
      <c r="O402" s="236" t="n"/>
      <c r="P402" s="236" t="n"/>
    </row>
    <row r="403">
      <c r="A403" s="236" t="inlineStr">
        <is>
          <t>IPB Seminários - Nieves Soria</t>
        </is>
      </c>
      <c r="B403" s="165" t="n">
        <v>1</v>
      </c>
      <c r="C403" s="68" t="n">
        <v>20</v>
      </c>
      <c r="D403" s="68">
        <f>C403*B403</f>
        <v/>
      </c>
      <c r="E403" s="117" t="n"/>
      <c r="F403" s="68">
        <f>E403+D403+D404+D405</f>
        <v/>
      </c>
      <c r="G403" s="239">
        <f>F403</f>
        <v/>
      </c>
      <c r="H403" s="281" t="n">
        <v>45219</v>
      </c>
      <c r="I403" s="250" t="inlineStr">
        <is>
          <t>PIX</t>
        </is>
      </c>
      <c r="J403" s="250" t="n"/>
      <c r="K403" s="236" t="n"/>
      <c r="L403" s="236" t="n"/>
      <c r="M403" s="236" t="n"/>
      <c r="N403" s="236" t="n"/>
      <c r="O403" s="236" t="n"/>
      <c r="P403" s="236" t="n"/>
    </row>
    <row r="404">
      <c r="A404" s="236" t="inlineStr">
        <is>
          <t>A função do pai em psicanálise</t>
        </is>
      </c>
      <c r="B404" s="165" t="n">
        <v>1</v>
      </c>
      <c r="C404" s="68" t="n">
        <v>60</v>
      </c>
      <c r="D404" s="68">
        <f>C404*B404</f>
        <v/>
      </c>
      <c r="E404" s="343" t="n"/>
      <c r="F404" s="343" t="n"/>
      <c r="G404" s="343" t="n"/>
      <c r="H404" s="343" t="n"/>
      <c r="I404" s="343" t="n"/>
      <c r="J404" s="343" t="n"/>
      <c r="K404" s="236" t="n"/>
      <c r="L404" s="236" t="n"/>
      <c r="M404" s="236" t="n"/>
      <c r="N404" s="236" t="n"/>
      <c r="O404" s="236" t="n"/>
      <c r="P404" s="236" t="n"/>
    </row>
    <row r="405">
      <c r="A405" s="236" t="inlineStr">
        <is>
          <t>O Feminino In-familiar</t>
        </is>
      </c>
      <c r="B405" s="165" t="n">
        <v>1</v>
      </c>
      <c r="C405" s="68" t="n">
        <v>55</v>
      </c>
      <c r="D405" s="68">
        <f>C405*B405</f>
        <v/>
      </c>
      <c r="E405" s="340" t="n"/>
      <c r="F405" s="340" t="n"/>
      <c r="G405" s="340" t="n"/>
      <c r="H405" s="340" t="n"/>
      <c r="I405" s="340" t="n"/>
      <c r="J405" s="340" t="n"/>
      <c r="K405" s="236" t="n"/>
      <c r="L405" s="236" t="n"/>
      <c r="M405" s="236" t="n"/>
      <c r="N405" s="236" t="n"/>
      <c r="O405" s="236" t="n"/>
      <c r="P405" s="236" t="n"/>
    </row>
    <row r="406">
      <c r="A406" s="236" t="inlineStr">
        <is>
          <t>IPB Seminários - Nieves Soria</t>
        </is>
      </c>
      <c r="B406" s="165" t="n">
        <v>1</v>
      </c>
      <c r="C406" s="68" t="n">
        <v>20</v>
      </c>
      <c r="D406" s="68">
        <f>C406*B406</f>
        <v/>
      </c>
      <c r="E406" s="90" t="n"/>
      <c r="F406" s="68">
        <f>E406+D406</f>
        <v/>
      </c>
      <c r="G406" s="239">
        <f>F406</f>
        <v/>
      </c>
      <c r="H406" s="240" t="n">
        <v>45219</v>
      </c>
      <c r="I406" s="241" t="inlineStr">
        <is>
          <t>PIX</t>
        </is>
      </c>
      <c r="J406" s="241" t="n"/>
      <c r="K406" s="236" t="n"/>
      <c r="L406" s="236" t="n"/>
      <c r="M406" s="236" t="n"/>
      <c r="N406" s="236" t="n"/>
      <c r="O406" s="236" t="n"/>
      <c r="P406" s="236" t="n"/>
    </row>
    <row r="407">
      <c r="A407" s="236" t="inlineStr">
        <is>
          <t>El Fantasma, Aún</t>
        </is>
      </c>
      <c r="B407" s="165" t="n">
        <v>1</v>
      </c>
      <c r="C407" s="68" t="n">
        <v>80</v>
      </c>
      <c r="D407" s="68">
        <f>C407*B407</f>
        <v/>
      </c>
      <c r="E407" s="117" t="n"/>
      <c r="F407" s="68">
        <f>E407+D407+D408</f>
        <v/>
      </c>
      <c r="G407" s="239">
        <f>F407</f>
        <v/>
      </c>
      <c r="H407" s="281" t="n">
        <v>45219</v>
      </c>
      <c r="I407" s="250" t="inlineStr">
        <is>
          <t>PIX</t>
        </is>
      </c>
      <c r="J407" s="250" t="n"/>
      <c r="K407" s="236" t="n"/>
      <c r="L407" s="236" t="n"/>
      <c r="M407" s="236" t="n"/>
      <c r="N407" s="236" t="n"/>
      <c r="O407" s="236" t="n"/>
      <c r="P407" s="236" t="n"/>
    </row>
    <row r="408">
      <c r="A408" s="236" t="inlineStr">
        <is>
          <t>Agente 20</t>
        </is>
      </c>
      <c r="B408" s="165" t="n">
        <v>1</v>
      </c>
      <c r="C408" s="68" t="n">
        <v>70</v>
      </c>
      <c r="D408" s="68">
        <f>C408*B408</f>
        <v/>
      </c>
      <c r="E408" s="340" t="n"/>
      <c r="F408" s="340" t="n"/>
      <c r="G408" s="340" t="n"/>
      <c r="H408" s="340" t="n"/>
      <c r="I408" s="340" t="n"/>
      <c r="J408" s="340" t="n"/>
      <c r="K408" s="236" t="n"/>
      <c r="L408" s="236" t="n"/>
      <c r="M408" s="236" t="n"/>
      <c r="N408" s="236" t="n"/>
      <c r="O408" s="236" t="n"/>
      <c r="P408" s="236" t="n"/>
    </row>
    <row r="409">
      <c r="A409" s="236" t="inlineStr">
        <is>
          <t>IPB Seminários - Nieves Soria</t>
        </is>
      </c>
      <c r="B409" s="165" t="n">
        <v>1</v>
      </c>
      <c r="C409" s="68" t="n">
        <v>20</v>
      </c>
      <c r="D409" s="68">
        <f>C409*B409</f>
        <v/>
      </c>
      <c r="E409" s="90" t="n"/>
      <c r="F409" s="68">
        <f>E409+D409</f>
        <v/>
      </c>
      <c r="G409" s="239">
        <f>F409</f>
        <v/>
      </c>
      <c r="H409" s="240" t="n">
        <v>45219</v>
      </c>
      <c r="I409" s="241" t="inlineStr">
        <is>
          <t>PIX</t>
        </is>
      </c>
      <c r="J409" s="241" t="n"/>
      <c r="K409" s="236" t="n"/>
      <c r="L409" s="236" t="n"/>
      <c r="M409" s="236" t="n"/>
      <c r="N409" s="236" t="n"/>
      <c r="O409" s="236" t="n"/>
      <c r="P409" s="236" t="n"/>
    </row>
    <row r="410">
      <c r="A410" s="236" t="inlineStr">
        <is>
          <t>IPB Seminários - Nieves Soria</t>
        </is>
      </c>
      <c r="B410" s="165" t="n">
        <v>1</v>
      </c>
      <c r="C410" s="68" t="n">
        <v>20</v>
      </c>
      <c r="D410" s="68">
        <f>C410*B410</f>
        <v/>
      </c>
      <c r="E410" s="90" t="n"/>
      <c r="F410" s="68">
        <f>E410+D410</f>
        <v/>
      </c>
      <c r="G410" s="239">
        <f>F410</f>
        <v/>
      </c>
      <c r="H410" s="240" t="n">
        <v>45219</v>
      </c>
      <c r="I410" s="241" t="inlineStr">
        <is>
          <t>PIX</t>
        </is>
      </c>
      <c r="J410" s="241" t="n"/>
      <c r="K410" s="236" t="n"/>
      <c r="L410" s="236" t="n"/>
      <c r="M410" s="236" t="n"/>
      <c r="N410" s="236" t="n"/>
      <c r="O410" s="236" t="n"/>
      <c r="P410" s="236" t="n"/>
    </row>
    <row r="411">
      <c r="A411" s="236" t="inlineStr">
        <is>
          <t>Correio 54</t>
        </is>
      </c>
      <c r="B411" s="165" t="n">
        <v>1</v>
      </c>
      <c r="C411" s="68" t="n">
        <v>10</v>
      </c>
      <c r="D411" s="68">
        <f>C411*B411</f>
        <v/>
      </c>
      <c r="E411" s="117" t="n"/>
      <c r="F411" s="68">
        <f>E411+D411+D412+D413</f>
        <v/>
      </c>
      <c r="G411" s="239">
        <f>F411</f>
        <v/>
      </c>
      <c r="H411" s="281" t="n">
        <v>45219</v>
      </c>
      <c r="I411" s="250" t="inlineStr">
        <is>
          <t>PIX</t>
        </is>
      </c>
      <c r="J411" s="250" t="n"/>
      <c r="K411" s="236" t="n"/>
      <c r="L411" s="236" t="n"/>
      <c r="M411" s="236" t="n"/>
      <c r="N411" s="236" t="n"/>
      <c r="O411" s="236" t="n"/>
      <c r="P411" s="236" t="n"/>
    </row>
    <row r="412">
      <c r="A412" s="236" t="inlineStr">
        <is>
          <t>Correio 57</t>
        </is>
      </c>
      <c r="B412" s="165" t="n">
        <v>1</v>
      </c>
      <c r="C412" s="68" t="n">
        <v>10</v>
      </c>
      <c r="D412" s="68">
        <f>C412*B412</f>
        <v/>
      </c>
      <c r="E412" s="343" t="n"/>
      <c r="F412" s="343" t="n"/>
      <c r="G412" s="343" t="n"/>
      <c r="H412" s="343" t="n"/>
      <c r="I412" s="343" t="n"/>
      <c r="J412" s="343" t="n"/>
      <c r="K412" s="236" t="n"/>
      <c r="L412" s="236" t="n"/>
      <c r="M412" s="236" t="n"/>
      <c r="N412" s="236" t="n"/>
      <c r="O412" s="236" t="n"/>
      <c r="P412" s="236" t="n"/>
    </row>
    <row r="413">
      <c r="A413" s="236" t="inlineStr">
        <is>
          <t>IPB Seminários - Nieves Soria</t>
        </is>
      </c>
      <c r="B413" s="165" t="n">
        <v>1</v>
      </c>
      <c r="C413" s="68" t="n">
        <v>20</v>
      </c>
      <c r="D413" s="68">
        <f>C413*B413</f>
        <v/>
      </c>
      <c r="E413" s="340" t="n"/>
      <c r="F413" s="340" t="n"/>
      <c r="G413" s="340" t="n"/>
      <c r="H413" s="340" t="n"/>
      <c r="I413" s="340" t="n"/>
      <c r="J413" s="340" t="n"/>
      <c r="K413" s="236" t="n"/>
      <c r="L413" s="236" t="n"/>
      <c r="M413" s="236" t="n"/>
      <c r="N413" s="236" t="n"/>
      <c r="O413" s="236" t="n"/>
      <c r="P413" s="236" t="n"/>
    </row>
    <row r="414">
      <c r="A414" s="236" t="inlineStr">
        <is>
          <t>IPB Seminários - Nieves Soria</t>
        </is>
      </c>
      <c r="B414" s="165" t="n">
        <v>1</v>
      </c>
      <c r="C414" s="68" t="n">
        <v>20</v>
      </c>
      <c r="D414" s="68">
        <f>C414*B414</f>
        <v/>
      </c>
      <c r="E414" s="90" t="n"/>
      <c r="F414" s="68">
        <f>E414+D414</f>
        <v/>
      </c>
      <c r="G414" s="239">
        <f>F414</f>
        <v/>
      </c>
      <c r="H414" s="240" t="n">
        <v>45219</v>
      </c>
      <c r="I414" s="241" t="inlineStr">
        <is>
          <t>PIX</t>
        </is>
      </c>
      <c r="J414" s="241" t="n"/>
      <c r="K414" s="236" t="n"/>
      <c r="L414" s="236" t="n"/>
      <c r="M414" s="236" t="n"/>
      <c r="N414" s="236" t="n"/>
      <c r="O414" s="236" t="n"/>
      <c r="P414" s="236" t="n"/>
    </row>
    <row r="415">
      <c r="A415" s="236" t="inlineStr">
        <is>
          <t>IPB Seminários - Nieves Soria</t>
        </is>
      </c>
      <c r="B415" s="165" t="n">
        <v>1</v>
      </c>
      <c r="C415" s="68" t="n">
        <v>20</v>
      </c>
      <c r="D415" s="68">
        <f>C415*B415</f>
        <v/>
      </c>
      <c r="E415" s="90" t="n"/>
      <c r="F415" s="68">
        <f>E415+D415</f>
        <v/>
      </c>
      <c r="G415" s="239">
        <f>F415</f>
        <v/>
      </c>
      <c r="H415" s="240" t="n">
        <v>45219</v>
      </c>
      <c r="I415" s="241" t="inlineStr">
        <is>
          <t>PIX</t>
        </is>
      </c>
      <c r="J415" s="241" t="n"/>
      <c r="K415" s="236" t="n"/>
      <c r="L415" s="236" t="n"/>
      <c r="M415" s="236" t="n"/>
      <c r="N415" s="236" t="n"/>
      <c r="O415" s="236" t="n"/>
      <c r="P415" s="236" t="n"/>
    </row>
    <row r="416">
      <c r="A416" s="236" t="inlineStr">
        <is>
          <t>Correio 54</t>
        </is>
      </c>
      <c r="B416" s="165" t="n">
        <v>2</v>
      </c>
      <c r="C416" s="68" t="n">
        <v>10</v>
      </c>
      <c r="D416" s="68">
        <f>C416*B416</f>
        <v/>
      </c>
      <c r="E416" s="90" t="n"/>
      <c r="F416" s="68">
        <f>E416+D416</f>
        <v/>
      </c>
      <c r="G416" s="239">
        <f>F416</f>
        <v/>
      </c>
      <c r="H416" s="240" t="n">
        <v>45219</v>
      </c>
      <c r="I416" s="241" t="inlineStr">
        <is>
          <t>PIX</t>
        </is>
      </c>
      <c r="J416" s="241" t="n"/>
      <c r="K416" s="236" t="n"/>
      <c r="L416" s="236" t="n"/>
      <c r="M416" s="236" t="n"/>
      <c r="N416" s="236" t="n"/>
      <c r="O416" s="236" t="n"/>
      <c r="P416" s="236" t="n"/>
    </row>
    <row r="417">
      <c r="A417" s="236" t="inlineStr">
        <is>
          <t>Correio 57</t>
        </is>
      </c>
      <c r="B417" s="165" t="n">
        <v>2</v>
      </c>
      <c r="C417" s="68" t="n">
        <v>10</v>
      </c>
      <c r="D417" s="68">
        <f>C417*B417</f>
        <v/>
      </c>
      <c r="E417" s="117" t="n"/>
      <c r="F417" s="68">
        <f>E417+D417+D418</f>
        <v/>
      </c>
      <c r="G417" s="239">
        <f>F417</f>
        <v/>
      </c>
      <c r="H417" s="281" t="n">
        <v>45219</v>
      </c>
      <c r="I417" s="250" t="inlineStr">
        <is>
          <t>PIX</t>
        </is>
      </c>
      <c r="J417" s="250" t="n"/>
      <c r="K417" s="236" t="n"/>
      <c r="L417" s="236" t="n"/>
      <c r="M417" s="236" t="n"/>
      <c r="N417" s="236" t="n"/>
      <c r="O417" s="236" t="n"/>
      <c r="P417" s="236" t="n"/>
    </row>
    <row r="418">
      <c r="A418" s="236" t="inlineStr">
        <is>
          <t>IPB Seminários - Nieves Soria</t>
        </is>
      </c>
      <c r="B418" s="165" t="n">
        <v>1</v>
      </c>
      <c r="C418" s="68" t="n">
        <v>20</v>
      </c>
      <c r="D418" s="68">
        <f>C418*B418</f>
        <v/>
      </c>
      <c r="E418" s="340" t="n"/>
      <c r="F418" s="340" t="n"/>
      <c r="G418" s="340" t="n"/>
      <c r="H418" s="340" t="n"/>
      <c r="I418" s="340" t="n"/>
      <c r="J418" s="340" t="n"/>
      <c r="K418" s="236" t="n"/>
      <c r="L418" s="236" t="n"/>
      <c r="M418" s="236" t="n"/>
      <c r="N418" s="236" t="n"/>
      <c r="O418" s="236" t="n"/>
      <c r="P418" s="236" t="n"/>
    </row>
    <row r="419">
      <c r="A419" s="236" t="inlineStr">
        <is>
          <t>IPB Seminários - Nieves Soria</t>
        </is>
      </c>
      <c r="B419" s="165" t="n">
        <v>1</v>
      </c>
      <c r="C419" s="68" t="n">
        <v>20</v>
      </c>
      <c r="D419" s="68">
        <f>C419*B419</f>
        <v/>
      </c>
      <c r="E419" s="90" t="n"/>
      <c r="F419" s="68">
        <f>E419+D419</f>
        <v/>
      </c>
      <c r="G419" s="239">
        <f>F419</f>
        <v/>
      </c>
      <c r="H419" s="240" t="n">
        <v>45219</v>
      </c>
      <c r="I419" s="241" t="inlineStr">
        <is>
          <t>PIX</t>
        </is>
      </c>
      <c r="J419" s="241" t="n"/>
      <c r="K419" s="236" t="n"/>
      <c r="L419" s="236" t="n"/>
      <c r="M419" s="236" t="n"/>
      <c r="N419" s="236" t="n"/>
      <c r="O419" s="236" t="n"/>
      <c r="P419" s="236" t="n"/>
    </row>
    <row r="420">
      <c r="A420" s="236" t="inlineStr">
        <is>
          <t>IPB Seminários - Nieves Soria</t>
        </is>
      </c>
      <c r="B420" s="165" t="n">
        <v>1</v>
      </c>
      <c r="C420" s="68" t="n">
        <v>20</v>
      </c>
      <c r="D420" s="68">
        <f>C420*B420</f>
        <v/>
      </c>
      <c r="E420" s="117" t="n"/>
      <c r="F420" s="68">
        <f>E420+D420+D421+D422</f>
        <v/>
      </c>
      <c r="G420" s="239">
        <f>F420</f>
        <v/>
      </c>
      <c r="H420" s="281" t="n">
        <v>45219</v>
      </c>
      <c r="I420" s="250" t="inlineStr">
        <is>
          <t>PIX</t>
        </is>
      </c>
      <c r="J420" s="250" t="n"/>
      <c r="K420" s="236" t="n"/>
      <c r="L420" s="236" t="n"/>
      <c r="M420" s="236" t="n"/>
      <c r="N420" s="236" t="n"/>
      <c r="O420" s="236" t="n"/>
      <c r="P420" s="236" t="n"/>
    </row>
    <row r="421">
      <c r="A421" s="236" t="inlineStr">
        <is>
          <t>Correio 55</t>
        </is>
      </c>
      <c r="B421" s="165" t="n">
        <v>1</v>
      </c>
      <c r="C421" s="68" t="n">
        <v>10</v>
      </c>
      <c r="D421" s="68">
        <f>C421*B421</f>
        <v/>
      </c>
      <c r="E421" s="343" t="n"/>
      <c r="F421" s="343" t="n"/>
      <c r="G421" s="343" t="n"/>
      <c r="H421" s="343" t="n"/>
      <c r="I421" s="343" t="n"/>
      <c r="J421" s="343" t="n"/>
      <c r="K421" s="236" t="n"/>
      <c r="L421" s="236" t="n"/>
      <c r="M421" s="236" t="n"/>
      <c r="N421" s="236" t="n"/>
      <c r="O421" s="236" t="n"/>
      <c r="P421" s="236" t="n"/>
    </row>
    <row r="422">
      <c r="A422" s="236" t="inlineStr">
        <is>
          <t>Correio</t>
        </is>
      </c>
      <c r="B422" s="165" t="n">
        <v>1</v>
      </c>
      <c r="C422" s="68" t="n">
        <v>10</v>
      </c>
      <c r="D422" s="68">
        <f>C422*B422</f>
        <v/>
      </c>
      <c r="E422" s="340" t="n"/>
      <c r="F422" s="340" t="n"/>
      <c r="G422" s="340" t="n"/>
      <c r="H422" s="340" t="n"/>
      <c r="I422" s="340" t="n"/>
      <c r="J422" s="340" t="n"/>
      <c r="K422" s="236" t="n"/>
      <c r="L422" s="236" t="n"/>
      <c r="M422" s="236" t="n"/>
      <c r="N422" s="236" t="n"/>
      <c r="O422" s="236" t="n"/>
      <c r="P422" s="236" t="n"/>
    </row>
    <row r="423">
      <c r="A423" s="236" t="inlineStr">
        <is>
          <t>IPB Seminários - Nieves Soria</t>
        </is>
      </c>
      <c r="B423" s="165" t="n">
        <v>1</v>
      </c>
      <c r="C423" s="68" t="n">
        <v>20</v>
      </c>
      <c r="D423" s="68">
        <f>C423*B423</f>
        <v/>
      </c>
      <c r="E423" s="90" t="n"/>
      <c r="F423" s="68">
        <f>E423+D423</f>
        <v/>
      </c>
      <c r="G423" s="239">
        <f>F423</f>
        <v/>
      </c>
      <c r="H423" s="240" t="n">
        <v>45219</v>
      </c>
      <c r="I423" s="241" t="inlineStr">
        <is>
          <t>PIX</t>
        </is>
      </c>
      <c r="J423" s="241" t="n"/>
      <c r="K423" s="236" t="n"/>
      <c r="L423" s="236" t="n"/>
      <c r="M423" s="236" t="n"/>
      <c r="N423" s="236" t="n"/>
      <c r="O423" s="236" t="n"/>
      <c r="P423" s="236" t="n"/>
    </row>
    <row r="424">
      <c r="A424" s="236" t="inlineStr">
        <is>
          <t>Agente 16</t>
        </is>
      </c>
      <c r="B424" s="165" t="n">
        <v>1</v>
      </c>
      <c r="C424" s="68" t="n">
        <v>12</v>
      </c>
      <c r="D424" s="68">
        <f>C424*B424</f>
        <v/>
      </c>
      <c r="E424" s="90" t="n"/>
      <c r="F424" s="68">
        <f>E424+D424</f>
        <v/>
      </c>
      <c r="G424" s="239">
        <f>F424</f>
        <v/>
      </c>
      <c r="H424" s="240" t="n">
        <v>45220</v>
      </c>
      <c r="I424" s="241" t="inlineStr">
        <is>
          <t>PIX</t>
        </is>
      </c>
      <c r="J424" s="241" t="n"/>
      <c r="K424" s="236" t="n"/>
      <c r="L424" s="236" t="n"/>
      <c r="M424" s="236" t="n"/>
      <c r="N424" s="236" t="n"/>
      <c r="O424" s="236" t="n"/>
      <c r="P424" s="236" t="n"/>
    </row>
    <row r="425">
      <c r="A425" s="236" t="inlineStr">
        <is>
          <t>A Recusa na Anorexia</t>
        </is>
      </c>
      <c r="B425" s="165" t="n">
        <v>1</v>
      </c>
      <c r="C425" s="68" t="n">
        <v>100</v>
      </c>
      <c r="D425" s="68">
        <f>C425*B425</f>
        <v/>
      </c>
      <c r="E425" s="117" t="n"/>
      <c r="F425" s="68">
        <f>E425+D425+D426</f>
        <v/>
      </c>
      <c r="G425" s="239">
        <f>F425</f>
        <v/>
      </c>
      <c r="H425" s="281" t="n">
        <v>45220</v>
      </c>
      <c r="I425" s="250" t="inlineStr">
        <is>
          <t>PIX</t>
        </is>
      </c>
      <c r="J425" s="250" t="n"/>
      <c r="K425" s="236" t="n"/>
      <c r="L425" s="236" t="n"/>
      <c r="M425" s="236" t="n"/>
      <c r="N425" s="236" t="n"/>
      <c r="O425" s="236" t="n"/>
      <c r="P425" s="236" t="n"/>
    </row>
    <row r="426">
      <c r="A426" s="236" t="inlineStr">
        <is>
          <t>A Morte de Si</t>
        </is>
      </c>
      <c r="B426" s="165" t="n">
        <v>1</v>
      </c>
      <c r="C426" s="68" t="n">
        <v>75</v>
      </c>
      <c r="D426" s="68">
        <f>C426*B426</f>
        <v/>
      </c>
      <c r="E426" s="340" t="n"/>
      <c r="F426" s="340" t="n"/>
      <c r="G426" s="340" t="n"/>
      <c r="H426" s="340" t="n"/>
      <c r="I426" s="340" t="n"/>
      <c r="J426" s="340" t="n"/>
      <c r="K426" s="236" t="n"/>
      <c r="L426" s="236" t="n"/>
      <c r="M426" s="236" t="n"/>
      <c r="N426" s="236" t="n"/>
      <c r="O426" s="236" t="n"/>
      <c r="P426" s="236" t="n"/>
    </row>
    <row r="427">
      <c r="A427" s="236" t="inlineStr">
        <is>
          <t>Agente 16</t>
        </is>
      </c>
      <c r="B427" s="165" t="n">
        <v>1</v>
      </c>
      <c r="C427" s="68" t="n">
        <v>12</v>
      </c>
      <c r="D427" s="68">
        <f>C427*B427</f>
        <v/>
      </c>
      <c r="E427" s="90" t="n"/>
      <c r="F427" s="68">
        <f>E427+D427</f>
        <v/>
      </c>
      <c r="G427" s="239">
        <f>F427</f>
        <v/>
      </c>
      <c r="H427" s="240" t="n">
        <v>45220</v>
      </c>
      <c r="I427" s="241" t="inlineStr">
        <is>
          <t>PIX</t>
        </is>
      </c>
      <c r="J427" s="241" t="n"/>
      <c r="K427" s="236" t="n"/>
      <c r="L427" s="236" t="n"/>
      <c r="M427" s="236" t="n"/>
      <c r="N427" s="236" t="n"/>
      <c r="O427" s="236" t="n"/>
      <c r="P427" s="236" t="n"/>
    </row>
    <row r="428">
      <c r="A428" s="236" t="inlineStr">
        <is>
          <t>Agente 16</t>
        </is>
      </c>
      <c r="B428" s="165" t="n">
        <v>1</v>
      </c>
      <c r="C428" s="68" t="n">
        <v>12</v>
      </c>
      <c r="D428" s="68">
        <f>C428*B428</f>
        <v/>
      </c>
      <c r="E428" s="117" t="n"/>
      <c r="F428" s="68">
        <f>E428+D428+D429</f>
        <v/>
      </c>
      <c r="G428" s="239">
        <f>F428</f>
        <v/>
      </c>
      <c r="H428" s="281" t="n">
        <v>45220</v>
      </c>
      <c r="I428" s="250" t="inlineStr">
        <is>
          <t>PIX</t>
        </is>
      </c>
      <c r="J428" s="250" t="n"/>
      <c r="K428" s="236" t="n"/>
      <c r="L428" s="236" t="n"/>
      <c r="M428" s="236" t="n"/>
      <c r="N428" s="236" t="n"/>
      <c r="O428" s="236" t="n"/>
      <c r="P428" s="236" t="n"/>
    </row>
    <row r="429">
      <c r="A429" s="236" t="inlineStr">
        <is>
          <t>Agente 14</t>
        </is>
      </c>
      <c r="B429" s="165" t="n">
        <v>1</v>
      </c>
      <c r="C429" s="68" t="n">
        <v>15</v>
      </c>
      <c r="D429" s="68">
        <f>C429*B429</f>
        <v/>
      </c>
      <c r="E429" s="340" t="n"/>
      <c r="F429" s="340" t="n"/>
      <c r="G429" s="340" t="n"/>
      <c r="H429" s="340" t="n"/>
      <c r="I429" s="340" t="n"/>
      <c r="J429" s="340" t="n"/>
      <c r="K429" s="236" t="n"/>
      <c r="L429" s="236" t="n"/>
      <c r="M429" s="236" t="n"/>
      <c r="N429" s="236" t="n"/>
      <c r="O429" s="236" t="n"/>
      <c r="P429" s="236" t="n"/>
    </row>
    <row r="430">
      <c r="A430" s="236" t="inlineStr">
        <is>
          <t>A função do pai em psicanálise</t>
        </is>
      </c>
      <c r="B430" s="165" t="n">
        <v>1</v>
      </c>
      <c r="C430" s="68" t="n">
        <v>60</v>
      </c>
      <c r="D430" s="68">
        <f>C430*B430</f>
        <v/>
      </c>
      <c r="E430" s="90" t="n"/>
      <c r="F430" s="68">
        <f>E430+D430</f>
        <v/>
      </c>
      <c r="G430" s="239">
        <f>F430</f>
        <v/>
      </c>
      <c r="H430" s="240" t="n">
        <v>45220</v>
      </c>
      <c r="I430" s="241" t="inlineStr">
        <is>
          <t>PIX</t>
        </is>
      </c>
      <c r="J430" s="241" t="n"/>
      <c r="K430" s="236" t="n"/>
      <c r="L430" s="236" t="n"/>
      <c r="M430" s="236" t="n"/>
      <c r="N430" s="236" t="n"/>
      <c r="O430" s="236" t="n"/>
      <c r="P430" s="236" t="n"/>
    </row>
    <row r="431">
      <c r="A431" s="236" t="inlineStr">
        <is>
          <t>Agente 10</t>
        </is>
      </c>
      <c r="B431" s="165" t="n">
        <v>1</v>
      </c>
      <c r="C431" s="68" t="n">
        <v>12</v>
      </c>
      <c r="D431" s="68">
        <f>C431*B431</f>
        <v/>
      </c>
      <c r="E431" s="90" t="n"/>
      <c r="F431" s="68">
        <f>E431+D431</f>
        <v/>
      </c>
      <c r="G431" s="239">
        <f>F431</f>
        <v/>
      </c>
      <c r="H431" s="240" t="n">
        <v>45220</v>
      </c>
      <c r="I431" s="241" t="inlineStr">
        <is>
          <t>PIX</t>
        </is>
      </c>
      <c r="J431" s="241" t="n"/>
      <c r="K431" s="236" t="n"/>
      <c r="L431" s="236" t="n"/>
      <c r="M431" s="236" t="n"/>
      <c r="N431" s="236" t="n"/>
      <c r="O431" s="236" t="n"/>
      <c r="P431" s="236" t="n"/>
    </row>
    <row r="432">
      <c r="A432" s="236" t="inlineStr">
        <is>
          <t>Agente 10</t>
        </is>
      </c>
      <c r="B432" s="165" t="n">
        <v>1</v>
      </c>
      <c r="C432" s="68" t="n">
        <v>12</v>
      </c>
      <c r="D432" s="68">
        <f>C432*B432</f>
        <v/>
      </c>
      <c r="E432" s="117" t="n"/>
      <c r="F432" s="68">
        <f>E432+D432+D433+D434</f>
        <v/>
      </c>
      <c r="G432" s="239">
        <f>F432</f>
        <v/>
      </c>
      <c r="H432" s="281" t="n">
        <v>45220</v>
      </c>
      <c r="I432" s="250" t="inlineStr">
        <is>
          <t>PIX</t>
        </is>
      </c>
      <c r="J432" s="250" t="n"/>
      <c r="K432" s="236" t="n"/>
      <c r="L432" s="236" t="n"/>
      <c r="M432" s="236" t="n"/>
      <c r="N432" s="236" t="n"/>
      <c r="O432" s="236" t="n"/>
      <c r="P432" s="236" t="n"/>
    </row>
    <row r="433">
      <c r="A433" s="236" t="inlineStr">
        <is>
          <t>Agente 14</t>
        </is>
      </c>
      <c r="B433" s="165" t="n">
        <v>1</v>
      </c>
      <c r="C433" s="68" t="n">
        <v>15</v>
      </c>
      <c r="D433" s="68">
        <f>C433*B433</f>
        <v/>
      </c>
      <c r="E433" s="343" t="n"/>
      <c r="F433" s="343" t="n"/>
      <c r="G433" s="343" t="n"/>
      <c r="H433" s="343" t="n"/>
      <c r="I433" s="343" t="n"/>
      <c r="J433" s="343" t="n"/>
      <c r="K433" s="236" t="n"/>
      <c r="L433" s="236" t="n"/>
      <c r="M433" s="236" t="n"/>
      <c r="N433" s="236" t="n"/>
      <c r="O433" s="236" t="n"/>
      <c r="P433" s="236" t="n"/>
    </row>
    <row r="434">
      <c r="A434" s="236" t="inlineStr">
        <is>
          <t>Agente 16</t>
        </is>
      </c>
      <c r="B434" s="165" t="n">
        <v>1</v>
      </c>
      <c r="C434" s="68" t="n">
        <v>12</v>
      </c>
      <c r="D434" s="68">
        <f>C434*B434</f>
        <v/>
      </c>
      <c r="E434" s="340" t="n"/>
      <c r="F434" s="340" t="n"/>
      <c r="G434" s="340" t="n"/>
      <c r="H434" s="340" t="n"/>
      <c r="I434" s="340" t="n"/>
      <c r="J434" s="340" t="n"/>
      <c r="K434" s="236" t="n"/>
      <c r="L434" s="236" t="n"/>
      <c r="M434" s="236" t="n"/>
      <c r="N434" s="236" t="n"/>
      <c r="O434" s="236" t="n"/>
      <c r="P434" s="236" t="n"/>
    </row>
    <row r="435">
      <c r="A435" s="236" t="inlineStr">
        <is>
          <t>Agente 10</t>
        </is>
      </c>
      <c r="B435" s="165" t="n">
        <v>1</v>
      </c>
      <c r="C435" s="68" t="n">
        <v>12</v>
      </c>
      <c r="D435" s="68">
        <f>C435*B435</f>
        <v/>
      </c>
      <c r="E435" s="90" t="n"/>
      <c r="F435" s="68">
        <f>E435+D435</f>
        <v/>
      </c>
      <c r="G435" s="239">
        <f>F435</f>
        <v/>
      </c>
      <c r="H435" s="240" t="n">
        <v>45220</v>
      </c>
      <c r="I435" s="241" t="inlineStr">
        <is>
          <t>PIX</t>
        </is>
      </c>
      <c r="J435" s="241" t="n"/>
      <c r="K435" s="236" t="n"/>
      <c r="L435" s="236" t="n"/>
      <c r="M435" s="236" t="n"/>
      <c r="N435" s="236" t="n"/>
      <c r="O435" s="236" t="n"/>
      <c r="P435" s="236" t="n"/>
    </row>
    <row r="436">
      <c r="A436" s="236" t="inlineStr">
        <is>
          <t>Agente 10</t>
        </is>
      </c>
      <c r="B436" s="165" t="n">
        <v>1</v>
      </c>
      <c r="C436" s="68" t="n">
        <v>12</v>
      </c>
      <c r="D436" s="68">
        <f>C436*B436</f>
        <v/>
      </c>
      <c r="E436" s="117" t="n"/>
      <c r="F436" s="68">
        <f>E436+D436+D437</f>
        <v/>
      </c>
      <c r="G436" s="239">
        <f>F436</f>
        <v/>
      </c>
      <c r="H436" s="281" t="n">
        <v>45220</v>
      </c>
      <c r="I436" s="250" t="inlineStr">
        <is>
          <t>PIX</t>
        </is>
      </c>
      <c r="J436" s="250" t="n"/>
      <c r="K436" s="236" t="n"/>
      <c r="L436" s="236" t="n"/>
      <c r="M436" s="236" t="n"/>
      <c r="N436" s="236" t="n"/>
      <c r="O436" s="236" t="n"/>
      <c r="P436" s="236" t="n"/>
    </row>
    <row r="437">
      <c r="A437" s="236" t="inlineStr">
        <is>
          <t>Agente 16</t>
        </is>
      </c>
      <c r="B437" s="165" t="n">
        <v>1</v>
      </c>
      <c r="C437" s="68" t="n">
        <v>12</v>
      </c>
      <c r="D437" s="68">
        <f>C437*B437</f>
        <v/>
      </c>
      <c r="E437" s="340" t="n"/>
      <c r="F437" s="340" t="n"/>
      <c r="G437" s="340" t="n"/>
      <c r="H437" s="340" t="n"/>
      <c r="I437" s="340" t="n"/>
      <c r="J437" s="340" t="n"/>
      <c r="K437" s="236" t="n"/>
      <c r="L437" s="236" t="n"/>
      <c r="M437" s="236" t="n"/>
      <c r="N437" s="236" t="n"/>
      <c r="O437" s="236" t="n"/>
      <c r="P437" s="236" t="n"/>
    </row>
    <row r="438">
      <c r="A438" s="236" t="inlineStr">
        <is>
          <t>Agente 10</t>
        </is>
      </c>
      <c r="B438" s="165" t="n">
        <v>1</v>
      </c>
      <c r="C438" s="68" t="n">
        <v>12</v>
      </c>
      <c r="D438" s="68">
        <f>C438*B438</f>
        <v/>
      </c>
      <c r="E438" s="90" t="n"/>
      <c r="F438" s="68">
        <f>E438+D438</f>
        <v/>
      </c>
      <c r="G438" s="239">
        <f>F438</f>
        <v/>
      </c>
      <c r="H438" s="240" t="n">
        <v>45220</v>
      </c>
      <c r="I438" s="241" t="inlineStr">
        <is>
          <t>PIX</t>
        </is>
      </c>
      <c r="J438" s="241" t="n"/>
      <c r="K438" s="236" t="n"/>
      <c r="L438" s="236" t="n"/>
      <c r="M438" s="236" t="n"/>
      <c r="N438" s="236" t="n"/>
      <c r="O438" s="236" t="n"/>
      <c r="P438" s="236" t="n"/>
    </row>
    <row r="439">
      <c r="A439" s="236" t="inlineStr">
        <is>
          <t>Anatomía De La Modernidad</t>
        </is>
      </c>
      <c r="B439" s="165" t="n">
        <v>1</v>
      </c>
      <c r="C439" s="68" t="n">
        <v>75</v>
      </c>
      <c r="D439" s="68">
        <f>C439*B439</f>
        <v/>
      </c>
      <c r="E439" s="90" t="n"/>
      <c r="F439" s="68">
        <f>E439+D439</f>
        <v/>
      </c>
      <c r="G439" s="239">
        <f>F439</f>
        <v/>
      </c>
      <c r="H439" s="240" t="n">
        <v>45220</v>
      </c>
      <c r="I439" s="241" t="inlineStr">
        <is>
          <t>PIX</t>
        </is>
      </c>
      <c r="J439" s="241" t="n"/>
      <c r="K439" s="236" t="n"/>
      <c r="L439" s="236" t="n"/>
      <c r="M439" s="236" t="n"/>
      <c r="N439" s="236" t="n"/>
      <c r="O439" s="236" t="n"/>
      <c r="P439" s="236" t="n"/>
    </row>
    <row r="440">
      <c r="A440" s="236" t="inlineStr">
        <is>
          <t>IPB Seminários - Nieves Soria</t>
        </is>
      </c>
      <c r="B440" s="165" t="n">
        <v>1</v>
      </c>
      <c r="C440" s="68" t="n">
        <v>20</v>
      </c>
      <c r="D440" s="68">
        <f>C440*B440</f>
        <v/>
      </c>
      <c r="E440" s="117" t="n"/>
      <c r="F440" s="68">
        <f>E440+D440+D441</f>
        <v/>
      </c>
      <c r="G440" s="239">
        <f>F440</f>
        <v/>
      </c>
      <c r="H440" s="281" t="n">
        <v>45220</v>
      </c>
      <c r="I440" s="250" t="inlineStr">
        <is>
          <t>PIX</t>
        </is>
      </c>
      <c r="J440" s="250" t="n"/>
      <c r="K440" s="236" t="n"/>
      <c r="L440" s="236" t="n"/>
      <c r="M440" s="236" t="n"/>
      <c r="N440" s="236" t="n"/>
      <c r="O440" s="236" t="n"/>
      <c r="P440" s="236" t="n"/>
    </row>
    <row r="441">
      <c r="A441" s="236" t="inlineStr">
        <is>
          <t>Agente 10</t>
        </is>
      </c>
      <c r="B441" s="165" t="n">
        <v>1</v>
      </c>
      <c r="C441" s="68" t="n">
        <v>12</v>
      </c>
      <c r="D441" s="68">
        <f>C441*B441</f>
        <v/>
      </c>
      <c r="E441" s="340" t="n"/>
      <c r="F441" s="340" t="n"/>
      <c r="G441" s="340" t="n"/>
      <c r="H441" s="340" t="n"/>
      <c r="I441" s="340" t="n"/>
      <c r="J441" s="340" t="n"/>
      <c r="K441" s="236" t="n"/>
      <c r="L441" s="236" t="n"/>
      <c r="M441" s="236" t="n"/>
      <c r="N441" s="236" t="n"/>
      <c r="O441" s="236" t="n"/>
      <c r="P441" s="236" t="n"/>
    </row>
    <row r="442">
      <c r="A442" s="245" t="inlineStr">
        <is>
          <t>Agente 14</t>
        </is>
      </c>
      <c r="B442" s="246" t="n">
        <v>1</v>
      </c>
      <c r="C442" s="247" t="n">
        <v>15</v>
      </c>
      <c r="D442" s="68">
        <f>C442*B442</f>
        <v/>
      </c>
      <c r="E442" s="117" t="n"/>
      <c r="F442" s="68">
        <f>E442+D442+D443+D444</f>
        <v/>
      </c>
      <c r="G442" s="239">
        <f>F442</f>
        <v/>
      </c>
      <c r="H442" s="281" t="n">
        <v>45220</v>
      </c>
      <c r="I442" s="250" t="inlineStr">
        <is>
          <t>PIX</t>
        </is>
      </c>
      <c r="J442" s="250" t="n"/>
      <c r="K442" s="236" t="n"/>
      <c r="L442" s="236" t="n"/>
      <c r="M442" s="236" t="n"/>
      <c r="N442" s="236" t="n"/>
      <c r="O442" s="236" t="n"/>
      <c r="P442" s="236" t="n"/>
    </row>
    <row r="443">
      <c r="A443" s="245" t="inlineStr">
        <is>
          <t>Agente 16</t>
        </is>
      </c>
      <c r="B443" s="246" t="n">
        <v>1</v>
      </c>
      <c r="C443" s="247" t="n">
        <v>12</v>
      </c>
      <c r="D443" s="68">
        <f>C443*B443</f>
        <v/>
      </c>
      <c r="E443" s="343" t="n"/>
      <c r="F443" s="343" t="n"/>
      <c r="G443" s="343" t="n"/>
      <c r="H443" s="343" t="n"/>
      <c r="I443" s="343" t="n"/>
      <c r="J443" s="343" t="n"/>
      <c r="K443" s="236" t="n"/>
      <c r="L443" s="236" t="n"/>
      <c r="M443" s="236" t="n"/>
      <c r="N443" s="236" t="n"/>
      <c r="O443" s="236" t="n"/>
      <c r="P443" s="236" t="n"/>
    </row>
    <row r="444">
      <c r="A444" s="236" t="inlineStr">
        <is>
          <t>Agente 10</t>
        </is>
      </c>
      <c r="B444" s="165" t="n">
        <v>1</v>
      </c>
      <c r="C444" s="68" t="n">
        <v>12</v>
      </c>
      <c r="D444" s="68">
        <f>C444*B444</f>
        <v/>
      </c>
      <c r="E444" s="340" t="n"/>
      <c r="F444" s="340" t="n"/>
      <c r="G444" s="340" t="n"/>
      <c r="H444" s="340" t="n"/>
      <c r="I444" s="340" t="n"/>
      <c r="J444" s="340" t="n"/>
      <c r="K444" s="236" t="n"/>
      <c r="L444" s="236" t="n"/>
      <c r="M444" s="236" t="n"/>
      <c r="N444" s="236" t="n"/>
      <c r="O444" s="236" t="n"/>
      <c r="P444" s="236" t="n"/>
    </row>
    <row r="445">
      <c r="A445" s="236" t="inlineStr">
        <is>
          <t>Agente 10</t>
        </is>
      </c>
      <c r="B445" s="165" t="n">
        <v>1</v>
      </c>
      <c r="C445" s="68" t="n">
        <v>12</v>
      </c>
      <c r="D445" s="68">
        <f>C445*B445</f>
        <v/>
      </c>
      <c r="E445" s="90" t="n"/>
      <c r="F445" s="68">
        <f>E445+D445</f>
        <v/>
      </c>
      <c r="G445" s="239">
        <f>F445</f>
        <v/>
      </c>
      <c r="H445" s="240" t="n">
        <v>45220</v>
      </c>
      <c r="I445" s="241" t="inlineStr">
        <is>
          <t>PIX</t>
        </is>
      </c>
      <c r="J445" s="241" t="n"/>
      <c r="K445" s="236" t="n"/>
      <c r="L445" s="236" t="n"/>
      <c r="M445" s="236" t="n"/>
      <c r="N445" s="236" t="n"/>
      <c r="O445" s="236" t="n"/>
      <c r="P445" s="236" t="n"/>
    </row>
    <row r="446">
      <c r="A446" s="236" t="inlineStr">
        <is>
          <t>A Morte de Si</t>
        </is>
      </c>
      <c r="B446" s="165" t="n">
        <v>1</v>
      </c>
      <c r="C446" s="68" t="n">
        <v>75</v>
      </c>
      <c r="D446" s="68">
        <f>C446*B446</f>
        <v/>
      </c>
      <c r="E446" s="90" t="n"/>
      <c r="F446" s="68">
        <f>E446+D446</f>
        <v/>
      </c>
      <c r="G446" s="239">
        <f>F446</f>
        <v/>
      </c>
      <c r="H446" s="240" t="n">
        <v>45223</v>
      </c>
      <c r="I446" s="241" t="inlineStr">
        <is>
          <t>PIX</t>
        </is>
      </c>
      <c r="J446" s="241" t="n"/>
      <c r="K446" s="236" t="n"/>
      <c r="L446" s="236" t="n"/>
      <c r="M446" s="236" t="n"/>
      <c r="N446" s="236" t="n"/>
      <c r="O446" s="236" t="n"/>
      <c r="P446" s="236" t="n"/>
    </row>
    <row r="447">
      <c r="A447" s="236" t="inlineStr">
        <is>
          <t>IPB Seminários - Nieves Soria</t>
        </is>
      </c>
      <c r="B447" s="165" t="n">
        <v>2</v>
      </c>
      <c r="C447" s="68" t="n">
        <v>20</v>
      </c>
      <c r="D447" s="68">
        <f>C447*B447</f>
        <v/>
      </c>
      <c r="E447" s="90" t="n"/>
      <c r="F447" s="68">
        <f>E447+D447</f>
        <v/>
      </c>
      <c r="G447" s="239">
        <f>F447</f>
        <v/>
      </c>
      <c r="H447" s="240" t="n">
        <v>45223</v>
      </c>
      <c r="I447" s="241" t="inlineStr">
        <is>
          <t>PIX</t>
        </is>
      </c>
      <c r="J447" s="241" t="n"/>
      <c r="K447" s="236" t="n"/>
      <c r="L447" s="236" t="n"/>
      <c r="M447" s="236" t="n"/>
      <c r="N447" s="236" t="n"/>
      <c r="O447" s="236" t="n"/>
      <c r="P447" s="236" t="n"/>
    </row>
    <row r="448">
      <c r="A448" s="236" t="inlineStr">
        <is>
          <t>IPB Seminários - Nieves Soria</t>
        </is>
      </c>
      <c r="B448" s="165" t="n">
        <v>1</v>
      </c>
      <c r="C448" s="68" t="n">
        <v>20</v>
      </c>
      <c r="D448" s="68">
        <f>C448*B448</f>
        <v/>
      </c>
      <c r="E448" s="90" t="n"/>
      <c r="F448" s="68">
        <f>E448+D448</f>
        <v/>
      </c>
      <c r="G448" s="239">
        <f>F448</f>
        <v/>
      </c>
      <c r="H448" s="240" t="n">
        <v>45223</v>
      </c>
      <c r="I448" s="241" t="inlineStr">
        <is>
          <t>PIX</t>
        </is>
      </c>
      <c r="J448" s="241" t="n"/>
      <c r="K448" s="236" t="n"/>
      <c r="L448" s="236" t="n"/>
      <c r="M448" s="236" t="n"/>
      <c r="N448" s="236" t="n"/>
      <c r="O448" s="236" t="n"/>
      <c r="P448" s="236" t="n"/>
    </row>
    <row r="449">
      <c r="A449" s="236" t="inlineStr">
        <is>
          <t>IPB Seminários - Nieves Soria</t>
        </is>
      </c>
      <c r="B449" s="165" t="n">
        <v>1</v>
      </c>
      <c r="C449" s="68" t="n">
        <v>20</v>
      </c>
      <c r="D449" s="68">
        <f>C449*B449</f>
        <v/>
      </c>
      <c r="E449" s="90" t="n"/>
      <c r="F449" s="68">
        <f>E449+D449</f>
        <v/>
      </c>
      <c r="G449" s="239">
        <f>F449</f>
        <v/>
      </c>
      <c r="H449" s="240" t="n">
        <v>45223</v>
      </c>
      <c r="I449" s="241" t="n"/>
      <c r="J449" s="241" t="n"/>
      <c r="K449" s="236" t="n"/>
      <c r="L449" s="236" t="n"/>
      <c r="M449" s="236" t="n"/>
      <c r="N449" s="236" t="n"/>
      <c r="O449" s="236" t="n"/>
      <c r="P449" s="236" t="n"/>
    </row>
    <row r="450">
      <c r="A450" s="236" t="inlineStr">
        <is>
          <t>Não identificado</t>
        </is>
      </c>
      <c r="B450" s="165" t="n">
        <v>1</v>
      </c>
      <c r="C450" s="68" t="n">
        <v>35</v>
      </c>
      <c r="D450" s="68">
        <f>C450*B450</f>
        <v/>
      </c>
      <c r="E450" s="90" t="n"/>
      <c r="F450" s="68">
        <f>E450+D450</f>
        <v/>
      </c>
      <c r="G450" s="239">
        <f>F450</f>
        <v/>
      </c>
      <c r="H450" s="240" t="n">
        <v>45223</v>
      </c>
      <c r="I450" s="241" t="inlineStr">
        <is>
          <t>PIX</t>
        </is>
      </c>
      <c r="J450" s="241" t="n"/>
      <c r="K450" s="236" t="n"/>
      <c r="L450" s="236" t="n"/>
      <c r="M450" s="236" t="n"/>
      <c r="N450" s="236" t="n"/>
      <c r="O450" s="236" t="n"/>
      <c r="P450" s="236" t="n"/>
    </row>
    <row r="451">
      <c r="A451" s="236" t="inlineStr">
        <is>
          <t>IPB Seminários - Nieves Soria</t>
        </is>
      </c>
      <c r="B451" s="165" t="n">
        <v>1</v>
      </c>
      <c r="C451" s="68" t="n">
        <v>20</v>
      </c>
      <c r="D451" s="68">
        <f>C451*B451</f>
        <v/>
      </c>
      <c r="E451" s="90" t="n"/>
      <c r="F451" s="68">
        <f>E451+D451</f>
        <v/>
      </c>
      <c r="G451" s="239">
        <f>F451</f>
        <v/>
      </c>
      <c r="H451" s="240" t="n">
        <v>45223</v>
      </c>
      <c r="I451" s="241" t="inlineStr">
        <is>
          <t>PIX</t>
        </is>
      </c>
      <c r="J451" s="250" t="n"/>
      <c r="K451" s="236" t="n"/>
      <c r="L451" s="236" t="n"/>
      <c r="M451" s="236" t="n"/>
      <c r="N451" s="236" t="n"/>
      <c r="O451" s="236" t="n"/>
      <c r="P451" s="236" t="n"/>
    </row>
    <row r="452">
      <c r="A452" s="236" t="inlineStr">
        <is>
          <t>IPB Seminários - Nieves Soria</t>
        </is>
      </c>
      <c r="B452" s="165" t="n">
        <v>1</v>
      </c>
      <c r="C452" s="68" t="n">
        <v>20</v>
      </c>
      <c r="D452" s="68">
        <f>C452*B452</f>
        <v/>
      </c>
      <c r="E452" s="90" t="n"/>
      <c r="F452" s="68">
        <f>E452+D452</f>
        <v/>
      </c>
      <c r="G452" s="239">
        <f>F452</f>
        <v/>
      </c>
      <c r="H452" s="240" t="n">
        <v>45223</v>
      </c>
      <c r="I452" s="241" t="inlineStr">
        <is>
          <t>PIX</t>
        </is>
      </c>
      <c r="J452" s="250" t="n"/>
      <c r="K452" s="236" t="n"/>
      <c r="L452" s="236" t="n"/>
      <c r="M452" s="236" t="n"/>
      <c r="N452" s="236" t="n"/>
      <c r="O452" s="236" t="n"/>
      <c r="P452" s="236" t="n"/>
    </row>
    <row r="453">
      <c r="A453" s="236" t="inlineStr">
        <is>
          <t>Introduccion a la clínica con toxicomanias y alcoholismo I</t>
        </is>
      </c>
      <c r="B453" s="165" t="n">
        <v>1</v>
      </c>
      <c r="C453" s="68" t="n">
        <v>60</v>
      </c>
      <c r="D453" s="68">
        <f>C453*B453</f>
        <v/>
      </c>
      <c r="E453" s="117" t="n"/>
      <c r="F453" s="68">
        <f>E453+D453+D454</f>
        <v/>
      </c>
      <c r="G453" s="239">
        <f>F453</f>
        <v/>
      </c>
      <c r="H453" s="281" t="n">
        <v>45223</v>
      </c>
      <c r="I453" s="250" t="inlineStr">
        <is>
          <t>PIX</t>
        </is>
      </c>
      <c r="J453" s="250" t="n"/>
      <c r="K453" s="236" t="n"/>
      <c r="L453" s="236" t="n"/>
      <c r="M453" s="236" t="n"/>
      <c r="N453" s="236" t="n"/>
      <c r="O453" s="236" t="n"/>
      <c r="P453" s="236" t="n"/>
    </row>
    <row r="454">
      <c r="A454" s="236" t="inlineStr">
        <is>
          <t>Introduccion a la clínica con toxicomanias y alcoholismo II</t>
        </is>
      </c>
      <c r="B454" s="165" t="n">
        <v>1</v>
      </c>
      <c r="C454" s="68" t="n">
        <v>65</v>
      </c>
      <c r="D454" s="68">
        <f>C454*B454</f>
        <v/>
      </c>
      <c r="E454" s="340" t="n"/>
      <c r="F454" s="340" t="n"/>
      <c r="G454" s="340" t="n"/>
      <c r="H454" s="340" t="n"/>
      <c r="I454" s="340" t="n"/>
      <c r="J454" s="340" t="n"/>
      <c r="K454" s="236" t="n"/>
      <c r="L454" s="236" t="n"/>
      <c r="M454" s="236" t="n"/>
      <c r="N454" s="236" t="n"/>
      <c r="O454" s="236" t="n"/>
      <c r="P454" s="236" t="n"/>
    </row>
    <row r="455">
      <c r="A455" s="236" t="inlineStr">
        <is>
          <t>A Recusa na Anorexia</t>
        </is>
      </c>
      <c r="B455" s="165" t="n">
        <v>1</v>
      </c>
      <c r="C455" s="68" t="n">
        <v>100</v>
      </c>
      <c r="D455" s="68">
        <f>C455*B455</f>
        <v/>
      </c>
      <c r="E455" s="90" t="n"/>
      <c r="F455" s="68">
        <f>E455+D455</f>
        <v/>
      </c>
      <c r="G455" s="239">
        <f>F455</f>
        <v/>
      </c>
      <c r="H455" s="240" t="n">
        <v>45223</v>
      </c>
      <c r="I455" s="241" t="inlineStr">
        <is>
          <t>PIX</t>
        </is>
      </c>
      <c r="J455" s="250" t="n"/>
      <c r="K455" s="236" t="n"/>
      <c r="L455" s="236" t="n"/>
      <c r="M455" s="236" t="n"/>
      <c r="N455" s="236" t="n"/>
      <c r="O455" s="236" t="n"/>
      <c r="P455" s="236" t="n"/>
    </row>
    <row r="456">
      <c r="A456" s="236" t="inlineStr">
        <is>
          <t>Agente 15</t>
        </is>
      </c>
      <c r="B456" s="165" t="n">
        <v>1</v>
      </c>
      <c r="C456" s="68" t="n">
        <v>15</v>
      </c>
      <c r="D456" s="68">
        <f>C456*B456</f>
        <v/>
      </c>
      <c r="E456" s="90" t="n"/>
      <c r="F456" s="68">
        <f>E456+D456</f>
        <v/>
      </c>
      <c r="G456" s="229">
        <f>F456</f>
        <v/>
      </c>
      <c r="H456" s="210" t="n">
        <v>45223</v>
      </c>
      <c r="I456" s="155" t="inlineStr">
        <is>
          <t>PIX</t>
        </is>
      </c>
      <c r="J456" s="129" t="n"/>
      <c r="K456" s="236" t="n"/>
      <c r="L456" s="236" t="n"/>
      <c r="M456" s="236" t="n"/>
      <c r="N456" s="236" t="n"/>
      <c r="O456" s="236" t="n"/>
      <c r="P456" s="236" t="n"/>
    </row>
    <row r="457">
      <c r="A457" s="236" t="inlineStr">
        <is>
          <t>A Morte de Si</t>
        </is>
      </c>
      <c r="B457" s="165" t="n">
        <v>1</v>
      </c>
      <c r="C457" s="68" t="n">
        <v>75</v>
      </c>
      <c r="D457" s="68">
        <f>C457*B457</f>
        <v/>
      </c>
      <c r="E457" s="90" t="n"/>
      <c r="F457" s="68">
        <f>E457+D457</f>
        <v/>
      </c>
      <c r="G457" s="229">
        <f>F457</f>
        <v/>
      </c>
      <c r="H457" s="210" t="n">
        <v>45223</v>
      </c>
      <c r="I457" s="155" t="inlineStr">
        <is>
          <t>PIX</t>
        </is>
      </c>
      <c r="J457" s="129" t="n"/>
      <c r="K457" s="236" t="n"/>
      <c r="L457" s="236" t="n"/>
      <c r="M457" s="236" t="n"/>
      <c r="N457" s="236" t="n"/>
      <c r="O457" s="236" t="n"/>
      <c r="P457" s="236" t="n"/>
    </row>
    <row r="458">
      <c r="A458" s="236" t="inlineStr">
        <is>
          <t>Anatomia de la modernidad</t>
        </is>
      </c>
      <c r="B458" s="165" t="n">
        <v>1</v>
      </c>
      <c r="C458" s="68" t="n">
        <v>75</v>
      </c>
      <c r="D458" s="68">
        <f>C458*B458</f>
        <v/>
      </c>
      <c r="E458" s="90" t="n"/>
      <c r="F458" s="68">
        <f>E458+D458</f>
        <v/>
      </c>
      <c r="G458" s="229">
        <f>F458</f>
        <v/>
      </c>
      <c r="H458" s="210" t="n">
        <v>45224</v>
      </c>
      <c r="I458" s="155" t="inlineStr">
        <is>
          <t>PIX</t>
        </is>
      </c>
      <c r="J458" s="216" t="n"/>
      <c r="K458" s="236" t="n"/>
      <c r="L458" s="236" t="n"/>
      <c r="M458" s="236" t="n"/>
      <c r="N458" s="236" t="n"/>
      <c r="O458" s="236" t="n"/>
      <c r="P458" s="236" t="n"/>
    </row>
    <row r="459">
      <c r="A459" s="236" t="inlineStr">
        <is>
          <t>Agente 16</t>
        </is>
      </c>
      <c r="B459" s="165" t="n">
        <v>1</v>
      </c>
      <c r="C459" s="68" t="n">
        <v>12</v>
      </c>
      <c r="D459" s="68">
        <f>C459*B459</f>
        <v/>
      </c>
      <c r="E459" s="117" t="n"/>
      <c r="F459" s="68">
        <f>E459+D459+D460</f>
        <v/>
      </c>
      <c r="G459" s="229">
        <f>F459</f>
        <v/>
      </c>
      <c r="H459" s="214" t="n">
        <v>45224</v>
      </c>
      <c r="I459" s="216" t="inlineStr">
        <is>
          <t>PIX</t>
        </is>
      </c>
      <c r="J459" s="216" t="n"/>
      <c r="K459" s="236" t="n"/>
      <c r="L459" s="236" t="n"/>
      <c r="M459" s="236" t="n"/>
      <c r="N459" s="236" t="n"/>
      <c r="O459" s="236" t="n"/>
      <c r="P459" s="236" t="n"/>
    </row>
    <row r="460">
      <c r="A460" s="236" t="inlineStr">
        <is>
          <t>Agente 10</t>
        </is>
      </c>
      <c r="B460" s="165" t="n">
        <v>1</v>
      </c>
      <c r="C460" s="68" t="n">
        <v>12</v>
      </c>
      <c r="D460" s="68">
        <f>C460*B460</f>
        <v/>
      </c>
      <c r="E460" s="340" t="n"/>
      <c r="F460" s="340" t="n"/>
      <c r="G460" s="340" t="n"/>
      <c r="H460" s="340" t="n"/>
      <c r="I460" s="340" t="n"/>
      <c r="J460" s="340" t="n"/>
      <c r="K460" s="236" t="n"/>
      <c r="L460" s="236" t="n"/>
      <c r="M460" s="236" t="n"/>
      <c r="N460" s="236" t="n"/>
      <c r="O460" s="236" t="n"/>
      <c r="P460" s="236" t="n"/>
    </row>
    <row r="461">
      <c r="A461" s="236" t="inlineStr">
        <is>
          <t>Correio 54</t>
        </is>
      </c>
      <c r="B461" s="165" t="n">
        <v>1</v>
      </c>
      <c r="C461" s="68" t="n">
        <v>10</v>
      </c>
      <c r="D461" s="68">
        <f>C461*B461</f>
        <v/>
      </c>
      <c r="E461" s="117" t="n"/>
      <c r="F461" s="68">
        <f>E461+D461+D462</f>
        <v/>
      </c>
      <c r="G461" s="229">
        <f>F461</f>
        <v/>
      </c>
      <c r="H461" s="214" t="n">
        <v>45224</v>
      </c>
      <c r="I461" s="216" t="inlineStr">
        <is>
          <t>PIX</t>
        </is>
      </c>
      <c r="J461" s="216" t="n"/>
      <c r="K461" s="236" t="n"/>
      <c r="L461" s="236" t="n"/>
      <c r="M461" s="236" t="n"/>
      <c r="N461" s="236" t="n"/>
      <c r="O461" s="236" t="n"/>
      <c r="P461" s="236" t="n"/>
    </row>
    <row r="462">
      <c r="A462" s="236" t="inlineStr">
        <is>
          <t>Agente 16</t>
        </is>
      </c>
      <c r="B462" s="165" t="n">
        <v>1</v>
      </c>
      <c r="C462" s="68" t="n">
        <v>12</v>
      </c>
      <c r="D462" s="68">
        <f>C462*B462</f>
        <v/>
      </c>
      <c r="E462" s="340" t="n"/>
      <c r="F462" s="340" t="n"/>
      <c r="G462" s="340" t="n"/>
      <c r="H462" s="340" t="n"/>
      <c r="I462" s="340" t="n"/>
      <c r="J462" s="340" t="n"/>
      <c r="K462" s="236" t="n"/>
      <c r="L462" s="236" t="n"/>
      <c r="M462" s="236" t="n"/>
      <c r="N462" s="236" t="n"/>
      <c r="O462" s="236" t="n"/>
      <c r="P462" s="236" t="n"/>
    </row>
    <row r="463">
      <c r="A463" s="236" t="inlineStr">
        <is>
          <t>Agente 16</t>
        </is>
      </c>
      <c r="B463" s="165" t="n">
        <v>1</v>
      </c>
      <c r="C463" s="68" t="n">
        <v>12</v>
      </c>
      <c r="D463" s="68">
        <f>C463*B463</f>
        <v/>
      </c>
      <c r="E463" s="90" t="n"/>
      <c r="F463" s="68">
        <f>E463+D463</f>
        <v/>
      </c>
      <c r="G463" s="229">
        <f>F463</f>
        <v/>
      </c>
      <c r="H463" s="210" t="n">
        <v>45224</v>
      </c>
      <c r="I463" s="155" t="inlineStr">
        <is>
          <t>PIX</t>
        </is>
      </c>
      <c r="J463" s="216" t="n"/>
      <c r="K463" s="236" t="n"/>
      <c r="L463" s="236" t="n"/>
      <c r="M463" s="236" t="n"/>
      <c r="N463" s="236" t="n"/>
      <c r="O463" s="236" t="n"/>
      <c r="P463" s="236" t="n"/>
    </row>
    <row r="464">
      <c r="A464" s="236" t="inlineStr">
        <is>
          <t xml:space="preserve">Agente 10 </t>
        </is>
      </c>
      <c r="B464" s="165" t="n">
        <v>1</v>
      </c>
      <c r="C464" s="68" t="n">
        <v>12</v>
      </c>
      <c r="D464" s="68">
        <f>C464*B464</f>
        <v/>
      </c>
      <c r="E464" s="117" t="n"/>
      <c r="F464" s="68">
        <f>E464+D464+D465+D466+D467</f>
        <v/>
      </c>
      <c r="G464" s="229">
        <f>F464</f>
        <v/>
      </c>
      <c r="H464" s="214" t="n">
        <v>45224</v>
      </c>
      <c r="I464" s="216" t="inlineStr">
        <is>
          <t>TED</t>
        </is>
      </c>
      <c r="J464" s="216" t="n"/>
      <c r="K464" s="236" t="n"/>
      <c r="L464" s="236" t="n"/>
      <c r="M464" s="236" t="n"/>
      <c r="N464" s="236" t="n"/>
      <c r="O464" s="236" t="n"/>
      <c r="P464" s="236" t="n"/>
    </row>
    <row r="465">
      <c r="A465" s="236" t="inlineStr">
        <is>
          <t>Agenda 16</t>
        </is>
      </c>
      <c r="B465" s="165" t="n">
        <v>1</v>
      </c>
      <c r="C465" s="68" t="n">
        <v>12</v>
      </c>
      <c r="D465" s="68">
        <f>C465*B465</f>
        <v/>
      </c>
      <c r="E465" s="343" t="n"/>
      <c r="F465" s="343" t="n"/>
      <c r="G465" s="343" t="n"/>
      <c r="H465" s="343" t="n"/>
      <c r="I465" s="343" t="n"/>
      <c r="J465" s="343" t="n"/>
      <c r="K465" s="236" t="n"/>
      <c r="L465" s="236" t="n"/>
      <c r="M465" s="236" t="n"/>
      <c r="N465" s="236" t="n"/>
      <c r="O465" s="236" t="n"/>
      <c r="P465" s="236" t="n"/>
    </row>
    <row r="466">
      <c r="A466" s="236" t="inlineStr">
        <is>
          <t>IPB Seminários - Nieves Soria</t>
        </is>
      </c>
      <c r="B466" s="165" t="n">
        <v>1</v>
      </c>
      <c r="C466" s="68" t="n">
        <v>20</v>
      </c>
      <c r="D466" s="68">
        <f>C466*B466</f>
        <v/>
      </c>
      <c r="E466" s="343" t="n"/>
      <c r="F466" s="343" t="n"/>
      <c r="G466" s="343" t="n"/>
      <c r="H466" s="343" t="n"/>
      <c r="I466" s="343" t="n"/>
      <c r="J466" s="343" t="n"/>
      <c r="K466" s="236" t="n"/>
      <c r="L466" s="236" t="n"/>
      <c r="M466" s="236" t="n"/>
      <c r="N466" s="236" t="n"/>
      <c r="O466" s="236" t="n"/>
      <c r="P466" s="236" t="n"/>
    </row>
    <row r="467">
      <c r="A467" s="236" t="inlineStr">
        <is>
          <t>Agente 14</t>
        </is>
      </c>
      <c r="B467" s="165" t="n">
        <v>1</v>
      </c>
      <c r="C467" s="68" t="n">
        <v>15</v>
      </c>
      <c r="D467" s="68">
        <f>C467*B467</f>
        <v/>
      </c>
      <c r="E467" s="340" t="n"/>
      <c r="F467" s="340" t="n"/>
      <c r="G467" s="340" t="n"/>
      <c r="H467" s="340" t="n"/>
      <c r="I467" s="340" t="n"/>
      <c r="J467" s="340" t="n"/>
      <c r="K467" s="236" t="n"/>
      <c r="L467" s="236" t="n"/>
      <c r="M467" s="236" t="n"/>
      <c r="N467" s="236" t="n"/>
      <c r="O467" s="236" t="n"/>
      <c r="P467" s="236" t="n"/>
    </row>
    <row r="468">
      <c r="A468" s="236" t="inlineStr">
        <is>
          <t>El Fantasma, Aún</t>
        </is>
      </c>
      <c r="B468" s="165" t="n">
        <v>1</v>
      </c>
      <c r="C468" s="68" t="n">
        <v>80</v>
      </c>
      <c r="D468" s="68">
        <f>C468*B468</f>
        <v/>
      </c>
      <c r="E468" s="90" t="n"/>
      <c r="F468" s="68">
        <f>E468+D468</f>
        <v/>
      </c>
      <c r="G468" s="229">
        <f>F468</f>
        <v/>
      </c>
      <c r="H468" s="210" t="n">
        <v>45224</v>
      </c>
      <c r="I468" s="155" t="inlineStr">
        <is>
          <t>PIX</t>
        </is>
      </c>
      <c r="J468" s="155" t="n"/>
      <c r="K468" s="236" t="n"/>
      <c r="L468" s="236" t="n"/>
      <c r="M468" s="236" t="n"/>
      <c r="N468" s="236" t="n"/>
      <c r="O468" s="236" t="n"/>
      <c r="P468" s="236" t="n"/>
    </row>
    <row r="469">
      <c r="A469" s="236" t="inlineStr">
        <is>
          <t>Agente 10</t>
        </is>
      </c>
      <c r="B469" s="165" t="n">
        <v>1</v>
      </c>
      <c r="C469" s="68" t="n">
        <v>12</v>
      </c>
      <c r="D469" s="68">
        <f>C469*B469</f>
        <v/>
      </c>
      <c r="E469" s="117" t="n"/>
      <c r="F469" s="68">
        <f>E469+D469+D470</f>
        <v/>
      </c>
      <c r="G469" s="229">
        <f>F469</f>
        <v/>
      </c>
      <c r="H469" s="214" t="n">
        <v>45230</v>
      </c>
      <c r="I469" s="216" t="inlineStr">
        <is>
          <t>PIX</t>
        </is>
      </c>
      <c r="J469" s="216" t="n"/>
      <c r="K469" s="236" t="n"/>
      <c r="L469" s="236" t="n"/>
      <c r="M469" s="236" t="n"/>
      <c r="N469" s="236" t="n"/>
      <c r="O469" s="236" t="n"/>
      <c r="P469" s="236" t="n"/>
    </row>
    <row r="470">
      <c r="A470" s="236" t="inlineStr">
        <is>
          <t>IPB Seminários - Nieves Soria</t>
        </is>
      </c>
      <c r="B470" s="165" t="n">
        <v>1</v>
      </c>
      <c r="C470" s="68" t="n">
        <v>20</v>
      </c>
      <c r="D470" s="68">
        <f>C470*B470</f>
        <v/>
      </c>
      <c r="E470" s="340" t="n"/>
      <c r="F470" s="340" t="n"/>
      <c r="G470" s="340" t="n"/>
      <c r="H470" s="340" t="n"/>
      <c r="I470" s="340" t="n"/>
      <c r="J470" s="340" t="n"/>
      <c r="K470" s="236" t="n"/>
      <c r="L470" s="236" t="n"/>
      <c r="M470" s="236" t="n"/>
      <c r="N470" s="236" t="n"/>
      <c r="O470" s="236" t="n"/>
      <c r="P470" s="236" t="n"/>
    </row>
    <row r="471">
      <c r="A471" s="236" t="inlineStr">
        <is>
          <t>IPB Seminários - Nieves Soria</t>
        </is>
      </c>
      <c r="B471" s="165" t="n">
        <v>1</v>
      </c>
      <c r="C471" s="68" t="n">
        <v>20</v>
      </c>
      <c r="D471" s="68">
        <f>C471*B471</f>
        <v/>
      </c>
      <c r="E471" s="90" t="n"/>
      <c r="F471" s="68">
        <f>E471+D471</f>
        <v/>
      </c>
      <c r="G471" s="229">
        <f>F471</f>
        <v/>
      </c>
      <c r="H471" s="210" t="n">
        <v>45230</v>
      </c>
      <c r="I471" s="155" t="inlineStr">
        <is>
          <t>PIX</t>
        </is>
      </c>
      <c r="J471" s="155" t="n"/>
      <c r="K471" s="236" t="n"/>
      <c r="L471" s="236" t="n"/>
      <c r="M471" s="236" t="n"/>
      <c r="N471" s="236" t="n"/>
      <c r="O471" s="236" t="n"/>
      <c r="P471" s="236" t="n"/>
    </row>
    <row r="472">
      <c r="A472" s="236" t="inlineStr">
        <is>
          <t>Agente 16</t>
        </is>
      </c>
      <c r="B472" s="165" t="n">
        <v>1</v>
      </c>
      <c r="C472" s="68" t="n">
        <v>12</v>
      </c>
      <c r="D472" s="68">
        <f>C472*B472</f>
        <v/>
      </c>
      <c r="E472" s="90" t="n"/>
      <c r="F472" s="68">
        <f>E472+D472</f>
        <v/>
      </c>
      <c r="G472" s="229">
        <f>F472</f>
        <v/>
      </c>
      <c r="H472" s="210" t="n">
        <v>45230</v>
      </c>
      <c r="I472" s="155" t="inlineStr">
        <is>
          <t>PIX</t>
        </is>
      </c>
      <c r="J472" s="155" t="n"/>
      <c r="K472" s="236" t="n"/>
      <c r="L472" s="236" t="n"/>
      <c r="M472" s="236" t="n"/>
      <c r="N472" s="236" t="n"/>
      <c r="O472" s="236" t="n"/>
      <c r="P472" s="236" t="n"/>
    </row>
    <row r="473">
      <c r="A473" s="236" t="inlineStr">
        <is>
          <t>Agente 16</t>
        </is>
      </c>
      <c r="B473" s="165" t="n">
        <v>1</v>
      </c>
      <c r="C473" s="68" t="n">
        <v>12</v>
      </c>
      <c r="D473" s="68">
        <f>C473*B473</f>
        <v/>
      </c>
      <c r="E473" s="90" t="n"/>
      <c r="F473" s="68">
        <f>E473+D473</f>
        <v/>
      </c>
      <c r="G473" s="229">
        <f>F473</f>
        <v/>
      </c>
      <c r="H473" s="210" t="n">
        <v>45230</v>
      </c>
      <c r="I473" s="155" t="inlineStr">
        <is>
          <t>PIX</t>
        </is>
      </c>
      <c r="J473" s="155" t="n"/>
      <c r="K473" s="236" t="n"/>
      <c r="L473" s="236" t="n"/>
      <c r="M473" s="236" t="n"/>
      <c r="N473" s="236" t="n"/>
      <c r="O473" s="236" t="n"/>
      <c r="P473" s="236" t="n"/>
    </row>
    <row r="474">
      <c r="A474" s="236" t="inlineStr">
        <is>
          <t>agente 14</t>
        </is>
      </c>
      <c r="B474" s="165" t="n">
        <v>1</v>
      </c>
      <c r="C474" s="68" t="n">
        <v>15</v>
      </c>
      <c r="D474" s="68">
        <f>C474*B474</f>
        <v/>
      </c>
      <c r="E474" s="123" t="n"/>
      <c r="F474" s="180">
        <f>E474+D474</f>
        <v/>
      </c>
      <c r="G474" s="255">
        <f>F474</f>
        <v/>
      </c>
      <c r="H474" s="256" t="n">
        <v>45233</v>
      </c>
      <c r="I474" s="257" t="inlineStr">
        <is>
          <t>PIX</t>
        </is>
      </c>
      <c r="J474" s="257" t="n"/>
      <c r="K474" s="236" t="n"/>
      <c r="L474" s="236" t="n"/>
      <c r="M474" s="236" t="n"/>
      <c r="N474" s="236" t="n"/>
      <c r="O474" s="236" t="n"/>
      <c r="P474" s="236" t="n"/>
    </row>
    <row r="475">
      <c r="A475" s="236" t="inlineStr">
        <is>
          <t>Correio Especial</t>
        </is>
      </c>
      <c r="B475" s="165" t="n">
        <v>2</v>
      </c>
      <c r="C475" s="68" t="n">
        <v>10</v>
      </c>
      <c r="D475" s="68">
        <f>C475*B475</f>
        <v/>
      </c>
      <c r="E475" s="117" t="n"/>
      <c r="F475" s="68">
        <f>E475+D475+D476+D477+D478</f>
        <v/>
      </c>
      <c r="G475" s="239">
        <f>F475</f>
        <v/>
      </c>
      <c r="H475" s="281" t="n">
        <v>45233</v>
      </c>
      <c r="I475" s="250" t="inlineStr">
        <is>
          <t>PIX</t>
        </is>
      </c>
      <c r="J475" s="250" t="n"/>
      <c r="K475" s="236" t="n"/>
      <c r="L475" s="236" t="n"/>
      <c r="M475" s="236" t="n"/>
      <c r="N475" s="236" t="n"/>
      <c r="O475" s="236" t="n"/>
      <c r="P475" s="236" t="n"/>
    </row>
    <row r="476">
      <c r="A476" s="236" t="inlineStr">
        <is>
          <t>IPB Seminários - Nieves Soria</t>
        </is>
      </c>
      <c r="B476" s="165" t="n">
        <v>1</v>
      </c>
      <c r="C476" s="68" t="n">
        <v>20</v>
      </c>
      <c r="D476" s="68">
        <f>C476*B476</f>
        <v/>
      </c>
      <c r="E476" s="343" t="n"/>
      <c r="F476" s="343" t="n"/>
      <c r="G476" s="343" t="n"/>
      <c r="H476" s="343" t="n"/>
      <c r="I476" s="343" t="n"/>
      <c r="J476" s="343" t="n"/>
      <c r="K476" s="236" t="n"/>
      <c r="L476" s="236" t="n"/>
      <c r="M476" s="236" t="n"/>
      <c r="N476" s="236" t="n"/>
      <c r="O476" s="236" t="n"/>
      <c r="P476" s="236" t="n"/>
    </row>
    <row r="477">
      <c r="A477" s="236" t="inlineStr">
        <is>
          <t>Correio 53</t>
        </is>
      </c>
      <c r="B477" s="165" t="n">
        <v>1</v>
      </c>
      <c r="C477" s="68" t="n">
        <v>10</v>
      </c>
      <c r="D477" s="68">
        <f>C477*B477</f>
        <v/>
      </c>
      <c r="E477" s="343" t="n"/>
      <c r="F477" s="343" t="n"/>
      <c r="G477" s="343" t="n"/>
      <c r="H477" s="343" t="n"/>
      <c r="I477" s="343" t="n"/>
      <c r="J477" s="343" t="n"/>
      <c r="K477" s="236" t="n"/>
      <c r="L477" s="236" t="n"/>
      <c r="M477" s="236" t="n"/>
      <c r="N477" s="236" t="n"/>
      <c r="O477" s="236" t="n"/>
      <c r="P477" s="236" t="n"/>
    </row>
    <row r="478">
      <c r="A478" s="236" t="inlineStr">
        <is>
          <t>Correio 57</t>
        </is>
      </c>
      <c r="B478" s="165" t="n">
        <v>1</v>
      </c>
      <c r="C478" s="68" t="n">
        <v>10</v>
      </c>
      <c r="D478" s="68">
        <f>C478*B478</f>
        <v/>
      </c>
      <c r="E478" s="340" t="n"/>
      <c r="F478" s="340" t="n"/>
      <c r="G478" s="340" t="n"/>
      <c r="H478" s="340" t="n"/>
      <c r="I478" s="340" t="n"/>
      <c r="J478" s="340" t="n"/>
      <c r="K478" s="236" t="n"/>
      <c r="L478" s="236" t="n"/>
      <c r="M478" s="236" t="n"/>
      <c r="N478" s="236" t="n"/>
      <c r="O478" s="236" t="n"/>
      <c r="P478" s="236" t="n"/>
    </row>
    <row r="479">
      <c r="A479" s="236" t="inlineStr">
        <is>
          <t>Cómo comienzan y finalizan los análisis</t>
        </is>
      </c>
      <c r="B479" s="165" t="n">
        <v>1</v>
      </c>
      <c r="C479" s="68" t="n">
        <v>90</v>
      </c>
      <c r="D479" s="68">
        <f>C479*B479</f>
        <v/>
      </c>
      <c r="E479" s="88" t="n"/>
      <c r="F479" s="180">
        <f>E479+D479+D480+D481+D482+D483</f>
        <v/>
      </c>
      <c r="G479" s="239">
        <f>F479</f>
        <v/>
      </c>
      <c r="H479" s="281" t="n">
        <v>45233</v>
      </c>
      <c r="I479" s="250" t="inlineStr">
        <is>
          <t>PIX</t>
        </is>
      </c>
      <c r="J479" s="250" t="n"/>
      <c r="K479" s="236" t="n"/>
      <c r="L479" s="236" t="n"/>
      <c r="M479" s="236" t="n"/>
      <c r="N479" s="236" t="n"/>
      <c r="O479" s="236" t="n"/>
      <c r="P479" s="236" t="n"/>
    </row>
    <row r="480">
      <c r="A480" s="236" t="inlineStr">
        <is>
          <t>La Ciudad Analítica Nº1</t>
        </is>
      </c>
      <c r="B480" s="165" t="n">
        <v>1</v>
      </c>
      <c r="C480" s="68" t="n">
        <v>80</v>
      </c>
      <c r="D480" s="68">
        <f>C480*B480</f>
        <v/>
      </c>
      <c r="E480" s="343" t="n"/>
      <c r="F480" s="343" t="n"/>
      <c r="G480" s="343" t="n"/>
      <c r="H480" s="343" t="n"/>
      <c r="I480" s="343" t="n"/>
      <c r="J480" s="343" t="n"/>
      <c r="K480" s="236" t="n"/>
      <c r="L480" s="236" t="n"/>
      <c r="M480" s="236" t="n"/>
      <c r="N480" s="236" t="n"/>
      <c r="O480" s="236" t="n"/>
      <c r="P480" s="236" t="n"/>
    </row>
    <row r="481">
      <c r="A481" s="236" t="inlineStr">
        <is>
          <t>Introduccion a la clínica con toxicomanias y alcoholismo I</t>
        </is>
      </c>
      <c r="B481" s="165" t="n">
        <v>1</v>
      </c>
      <c r="C481" s="68" t="n">
        <v>60</v>
      </c>
      <c r="D481" s="68">
        <f>C481*B481</f>
        <v/>
      </c>
      <c r="E481" s="343" t="n"/>
      <c r="F481" s="343" t="n"/>
      <c r="G481" s="343" t="n"/>
      <c r="H481" s="343" t="n"/>
      <c r="I481" s="343" t="n"/>
      <c r="J481" s="343" t="n"/>
      <c r="K481" s="236" t="n"/>
      <c r="L481" s="236" t="n"/>
      <c r="M481" s="236" t="n"/>
      <c r="N481" s="236" t="n"/>
      <c r="O481" s="236" t="n"/>
      <c r="P481" s="236" t="n"/>
    </row>
    <row r="482">
      <c r="A482" s="236" t="inlineStr">
        <is>
          <t>Introduccion a la clínica con toxicomanias y alcoholismo III</t>
        </is>
      </c>
      <c r="B482" s="165" t="n">
        <v>1</v>
      </c>
      <c r="C482" s="68" t="n">
        <v>62</v>
      </c>
      <c r="D482" s="68">
        <f>C482*B482</f>
        <v/>
      </c>
      <c r="E482" s="343" t="n"/>
      <c r="F482" s="343" t="n"/>
      <c r="G482" s="343" t="n"/>
      <c r="H482" s="343" t="n"/>
      <c r="I482" s="343" t="n"/>
      <c r="J482" s="343" t="n"/>
      <c r="K482" s="236" t="n"/>
      <c r="L482" s="236" t="n"/>
      <c r="M482" s="236" t="n"/>
      <c r="N482" s="236" t="n"/>
      <c r="O482" s="236" t="n"/>
      <c r="P482" s="236" t="n"/>
    </row>
    <row r="483">
      <c r="A483" s="236" t="inlineStr">
        <is>
          <t>Introduccion a la clínica con toxicomanias y alcoholismo III</t>
        </is>
      </c>
      <c r="B483" s="165" t="n">
        <v>1</v>
      </c>
      <c r="C483" s="68" t="n">
        <v>65</v>
      </c>
      <c r="D483" s="68">
        <f>C483*B483</f>
        <v/>
      </c>
      <c r="E483" s="343" t="n"/>
      <c r="F483" s="343" t="n"/>
      <c r="G483" s="340" t="n"/>
      <c r="H483" s="340" t="n"/>
      <c r="I483" s="340" t="n"/>
      <c r="J483" s="340" t="n"/>
      <c r="K483" s="236" t="n"/>
      <c r="L483" s="236" t="n"/>
      <c r="M483" s="236" t="n"/>
      <c r="N483" s="236" t="n"/>
      <c r="O483" s="236" t="n"/>
      <c r="P483" s="236" t="n"/>
    </row>
    <row r="484">
      <c r="A484" s="236" t="inlineStr">
        <is>
          <t xml:space="preserve">IPB Seminários - Nieves Soria </t>
        </is>
      </c>
      <c r="B484" s="165" t="n">
        <v>1</v>
      </c>
      <c r="C484" s="68" t="n">
        <v>20</v>
      </c>
      <c r="D484" s="68">
        <f>C484*B484</f>
        <v/>
      </c>
      <c r="E484" s="90" t="n"/>
      <c r="F484" s="68">
        <f>E484+D484</f>
        <v/>
      </c>
      <c r="G484" s="263">
        <f>F484</f>
        <v/>
      </c>
      <c r="H484" s="240" t="n">
        <v>45233</v>
      </c>
      <c r="I484" s="241" t="inlineStr">
        <is>
          <t>PIX</t>
        </is>
      </c>
      <c r="J484" s="241" t="n"/>
      <c r="K484" s="236" t="n"/>
      <c r="L484" s="236" t="n"/>
      <c r="M484" s="236" t="n"/>
      <c r="N484" s="236" t="n"/>
      <c r="O484" s="236" t="n"/>
      <c r="P484" s="236" t="n"/>
    </row>
    <row r="485">
      <c r="A485" s="236" t="inlineStr">
        <is>
          <t>Agente 14</t>
        </is>
      </c>
      <c r="B485" s="165" t="n">
        <v>1</v>
      </c>
      <c r="C485" s="68" t="n">
        <v>15</v>
      </c>
      <c r="D485" s="68">
        <f>C485*B485</f>
        <v/>
      </c>
      <c r="E485" s="90" t="n"/>
      <c r="F485" s="68">
        <f>E485+D485</f>
        <v/>
      </c>
      <c r="G485" s="239">
        <f>F485</f>
        <v/>
      </c>
      <c r="H485" s="240" t="n">
        <v>45233</v>
      </c>
      <c r="I485" s="241" t="inlineStr">
        <is>
          <t>PIX</t>
        </is>
      </c>
      <c r="J485" s="241" t="n"/>
      <c r="K485" s="236" t="n"/>
      <c r="L485" s="236" t="n"/>
      <c r="M485" s="236" t="n"/>
      <c r="N485" s="236" t="n"/>
      <c r="O485" s="236" t="n"/>
      <c r="P485" s="236" t="n"/>
    </row>
    <row r="486">
      <c r="A486" s="236" t="inlineStr">
        <is>
          <t>Lacan e a Solução Elegante Na Psicose</t>
        </is>
      </c>
      <c r="B486" s="165" t="n">
        <v>1</v>
      </c>
      <c r="C486" s="68" t="n">
        <v>65</v>
      </c>
      <c r="D486" s="68">
        <f>C486*B486</f>
        <v/>
      </c>
      <c r="E486" s="117" t="n"/>
      <c r="F486" s="68">
        <f>E486+D486+D487+D488</f>
        <v/>
      </c>
      <c r="G486" s="239">
        <f>F486</f>
        <v/>
      </c>
      <c r="H486" s="281" t="n">
        <v>45233</v>
      </c>
      <c r="I486" s="250" t="inlineStr">
        <is>
          <t>PIX</t>
        </is>
      </c>
      <c r="J486" s="250" t="n"/>
      <c r="K486" s="236" t="n"/>
      <c r="L486" s="236" t="n"/>
      <c r="M486" s="236" t="n"/>
      <c r="N486" s="236" t="n"/>
      <c r="O486" s="236" t="n"/>
      <c r="P486" s="236" t="n"/>
    </row>
    <row r="487">
      <c r="A487" s="236" t="inlineStr">
        <is>
          <t>IPB Seminários - Nieves Soria</t>
        </is>
      </c>
      <c r="B487" s="165" t="n">
        <v>1</v>
      </c>
      <c r="C487" s="68" t="n">
        <v>20</v>
      </c>
      <c r="D487" s="68">
        <f>C487*B487</f>
        <v/>
      </c>
      <c r="E487" s="343" t="n"/>
      <c r="F487" s="343" t="n"/>
      <c r="G487" s="343" t="n"/>
      <c r="H487" s="343" t="n"/>
      <c r="I487" s="343" t="n"/>
      <c r="J487" s="343" t="n"/>
      <c r="K487" s="236" t="n"/>
      <c r="L487" s="236" t="n"/>
      <c r="M487" s="236" t="n"/>
      <c r="N487" s="236" t="n"/>
      <c r="O487" s="236" t="n"/>
      <c r="P487" s="236" t="n"/>
    </row>
    <row r="488">
      <c r="A488" s="236" t="inlineStr">
        <is>
          <t>Agente 14</t>
        </is>
      </c>
      <c r="B488" s="165" t="n">
        <v>1</v>
      </c>
      <c r="C488" s="68" t="n">
        <v>15</v>
      </c>
      <c r="D488" s="68">
        <f>C488*B488</f>
        <v/>
      </c>
      <c r="E488" s="340" t="n"/>
      <c r="F488" s="340" t="n"/>
      <c r="G488" s="340" t="n"/>
      <c r="H488" s="340" t="n"/>
      <c r="I488" s="340" t="n"/>
      <c r="J488" s="340" t="n"/>
      <c r="K488" s="236" t="n"/>
      <c r="L488" s="236" t="n"/>
      <c r="M488" s="236" t="n"/>
      <c r="N488" s="236" t="n"/>
      <c r="O488" s="236" t="n"/>
      <c r="P488" s="236" t="n"/>
    </row>
    <row r="489">
      <c r="A489" s="236" t="inlineStr">
        <is>
          <t>IPB Seminários - Nieves Soria</t>
        </is>
      </c>
      <c r="B489" s="165" t="n">
        <v>1</v>
      </c>
      <c r="C489" s="68" t="n">
        <v>20</v>
      </c>
      <c r="D489" s="68">
        <f>C489*B489</f>
        <v/>
      </c>
      <c r="E489" s="90" t="n"/>
      <c r="F489" s="68">
        <f>E489+D489</f>
        <v/>
      </c>
      <c r="G489" s="239">
        <f>F489</f>
        <v/>
      </c>
      <c r="H489" s="240" t="n">
        <v>45233</v>
      </c>
      <c r="I489" s="241" t="inlineStr">
        <is>
          <t>PIX</t>
        </is>
      </c>
      <c r="J489" s="241" t="n"/>
      <c r="K489" s="236" t="n"/>
      <c r="L489" s="236" t="n"/>
      <c r="M489" s="236" t="n"/>
      <c r="N489" s="236" t="n"/>
      <c r="O489" s="236" t="n"/>
      <c r="P489" s="236" t="n"/>
    </row>
    <row r="490">
      <c r="A490" s="236" t="inlineStr">
        <is>
          <t>Agente 20</t>
        </is>
      </c>
      <c r="B490" s="165" t="n">
        <v>1</v>
      </c>
      <c r="C490" s="68" t="n">
        <v>70</v>
      </c>
      <c r="D490" s="68">
        <f>C490*B490</f>
        <v/>
      </c>
      <c r="E490" s="90" t="n"/>
      <c r="F490" s="68">
        <f>E490+D490</f>
        <v/>
      </c>
      <c r="G490" s="239">
        <f>F490</f>
        <v/>
      </c>
      <c r="H490" s="240" t="n">
        <v>45233</v>
      </c>
      <c r="I490" s="241" t="inlineStr">
        <is>
          <t>PIX</t>
        </is>
      </c>
      <c r="J490" s="241" t="n"/>
      <c r="K490" s="236" t="n"/>
      <c r="L490" s="236" t="n"/>
      <c r="M490" s="236" t="n"/>
      <c r="N490" s="236" t="n"/>
      <c r="O490" s="236" t="n"/>
      <c r="P490" s="236" t="n"/>
    </row>
    <row r="491">
      <c r="A491" s="236" t="inlineStr">
        <is>
          <t>Introduccion a la clínica con toxicomanias y alcoholismo III</t>
        </is>
      </c>
      <c r="B491" s="165" t="n">
        <v>1</v>
      </c>
      <c r="C491" s="68" t="n">
        <v>65</v>
      </c>
      <c r="D491" s="68">
        <f>C491*B491</f>
        <v/>
      </c>
      <c r="E491" s="90" t="n"/>
      <c r="F491" s="68">
        <f>E491+D491</f>
        <v/>
      </c>
      <c r="G491" s="239">
        <f>F491</f>
        <v/>
      </c>
      <c r="H491" s="240" t="n">
        <v>45233</v>
      </c>
      <c r="I491" s="241" t="inlineStr">
        <is>
          <t>PIX</t>
        </is>
      </c>
      <c r="J491" s="241" t="n"/>
      <c r="K491" s="236" t="n"/>
      <c r="L491" s="236" t="n"/>
      <c r="M491" s="236" t="n"/>
      <c r="N491" s="236" t="n"/>
      <c r="O491" s="236" t="n"/>
      <c r="P491" s="236" t="n"/>
    </row>
    <row r="492">
      <c r="A492" s="236" t="inlineStr">
        <is>
          <t>Não identificado</t>
        </is>
      </c>
      <c r="B492" s="165" t="n">
        <v>1</v>
      </c>
      <c r="C492" s="68" t="n">
        <v>62</v>
      </c>
      <c r="D492" s="68">
        <f>C492*B492</f>
        <v/>
      </c>
      <c r="E492" s="90" t="n"/>
      <c r="F492" s="68">
        <f>E492+D492</f>
        <v/>
      </c>
      <c r="G492" s="239">
        <f>F492</f>
        <v/>
      </c>
      <c r="H492" s="240" t="n">
        <v>45233</v>
      </c>
      <c r="I492" s="241" t="inlineStr">
        <is>
          <t>PIX</t>
        </is>
      </c>
      <c r="J492" s="241" t="n"/>
      <c r="K492" s="236" t="n"/>
      <c r="L492" s="236" t="n"/>
      <c r="M492" s="236" t="n"/>
      <c r="N492" s="236" t="n"/>
      <c r="O492" s="236" t="n"/>
      <c r="P492" s="236" t="n"/>
    </row>
    <row r="493">
      <c r="A493" s="236" t="inlineStr">
        <is>
          <t>A Recusa na Anorexia</t>
        </is>
      </c>
      <c r="B493" s="165" t="n">
        <v>1</v>
      </c>
      <c r="C493" s="68" t="n">
        <v>100</v>
      </c>
      <c r="D493" s="68">
        <f>C493*B493</f>
        <v/>
      </c>
      <c r="E493" s="90" t="n"/>
      <c r="F493" s="68">
        <f>E493+D493</f>
        <v/>
      </c>
      <c r="G493" s="239">
        <f>F493</f>
        <v/>
      </c>
      <c r="H493" s="240" t="n">
        <v>45233</v>
      </c>
      <c r="I493" s="241" t="inlineStr">
        <is>
          <t>PIX</t>
        </is>
      </c>
      <c r="J493" s="241" t="n"/>
      <c r="K493" s="236" t="n"/>
      <c r="L493" s="236" t="n"/>
      <c r="M493" s="236" t="n"/>
      <c r="N493" s="236" t="n"/>
      <c r="O493" s="236" t="n"/>
      <c r="P493" s="236" t="n"/>
    </row>
    <row r="494">
      <c r="A494" s="236" t="inlineStr">
        <is>
          <t>Correio 53</t>
        </is>
      </c>
      <c r="B494" s="165" t="n">
        <v>1</v>
      </c>
      <c r="C494" s="68" t="n">
        <v>10</v>
      </c>
      <c r="D494" s="68">
        <f>C494*B494</f>
        <v/>
      </c>
      <c r="E494" s="90" t="n"/>
      <c r="F494" s="68">
        <f>E494+D494</f>
        <v/>
      </c>
      <c r="G494" s="239">
        <f>F494</f>
        <v/>
      </c>
      <c r="H494" s="240" t="n">
        <v>45233</v>
      </c>
      <c r="I494" s="241" t="inlineStr">
        <is>
          <t>PIX</t>
        </is>
      </c>
      <c r="J494" s="241" t="n"/>
      <c r="K494" s="236" t="n"/>
      <c r="L494" s="236" t="n"/>
      <c r="M494" s="236" t="n"/>
      <c r="N494" s="236" t="n"/>
      <c r="O494" s="236" t="n"/>
      <c r="P494" s="236" t="n"/>
    </row>
    <row r="495">
      <c r="A495" s="236" t="inlineStr">
        <is>
          <t>Agente 20</t>
        </is>
      </c>
      <c r="B495" s="165" t="n">
        <v>1</v>
      </c>
      <c r="C495" s="68" t="n">
        <v>70</v>
      </c>
      <c r="D495" s="68">
        <f>C495*B495</f>
        <v/>
      </c>
      <c r="E495" s="117" t="n"/>
      <c r="F495" s="68">
        <f>E495+D495+D496</f>
        <v/>
      </c>
      <c r="G495" s="239">
        <f>F495</f>
        <v/>
      </c>
      <c r="H495" s="281" t="n">
        <v>45233</v>
      </c>
      <c r="I495" s="250" t="inlineStr">
        <is>
          <t>PIX</t>
        </is>
      </c>
      <c r="J495" s="250" t="n"/>
      <c r="K495" s="236" t="n"/>
      <c r="L495" s="236" t="n"/>
      <c r="M495" s="236" t="n"/>
      <c r="N495" s="236" t="n"/>
      <c r="O495" s="236" t="n"/>
      <c r="P495" s="236" t="n"/>
    </row>
    <row r="496">
      <c r="A496" s="236" t="inlineStr">
        <is>
          <t>A função do pai em psicanálise</t>
        </is>
      </c>
      <c r="B496" s="165" t="n">
        <v>1</v>
      </c>
      <c r="C496" s="68" t="n">
        <v>60</v>
      </c>
      <c r="D496" s="68">
        <f>C496*B496</f>
        <v/>
      </c>
      <c r="E496" s="340" t="n"/>
      <c r="F496" s="340" t="n"/>
      <c r="G496" s="340" t="n"/>
      <c r="H496" s="340" t="n"/>
      <c r="I496" s="340" t="n"/>
      <c r="J496" s="340" t="n"/>
      <c r="K496" s="236" t="n"/>
      <c r="L496" s="236" t="n"/>
      <c r="M496" s="236" t="n"/>
      <c r="N496" s="236" t="n"/>
      <c r="O496" s="236" t="n"/>
      <c r="P496" s="236" t="n"/>
    </row>
    <row r="497">
      <c r="A497" s="236" t="inlineStr">
        <is>
          <t>La Ciudad Analítica Nº1</t>
        </is>
      </c>
      <c r="B497" s="165" t="n">
        <v>1</v>
      </c>
      <c r="C497" s="68" t="n">
        <v>80</v>
      </c>
      <c r="D497" s="68">
        <f>C497*B497</f>
        <v/>
      </c>
      <c r="E497" s="90" t="n"/>
      <c r="F497" s="68">
        <f>E497+D497</f>
        <v/>
      </c>
      <c r="G497" s="239">
        <f>F497</f>
        <v/>
      </c>
      <c r="H497" s="240" t="n">
        <v>45233</v>
      </c>
      <c r="I497" s="241" t="inlineStr">
        <is>
          <t>PIX</t>
        </is>
      </c>
      <c r="J497" s="241" t="n"/>
      <c r="K497" s="236" t="n"/>
      <c r="L497" s="236" t="n"/>
      <c r="M497" s="236" t="n"/>
      <c r="N497" s="236" t="n"/>
      <c r="O497" s="236" t="n"/>
      <c r="P497" s="236" t="n"/>
    </row>
    <row r="498">
      <c r="A498" s="236" t="inlineStr">
        <is>
          <t>A supervisão (controle) na formação do analista</t>
        </is>
      </c>
      <c r="B498" s="165" t="n">
        <v>1</v>
      </c>
      <c r="C498" s="68" t="n">
        <v>60</v>
      </c>
      <c r="D498" s="68">
        <f>C498*B498</f>
        <v/>
      </c>
      <c r="E498" s="117" t="n"/>
      <c r="F498" s="68">
        <f>E498+D498+D499+D500+D501</f>
        <v/>
      </c>
      <c r="G498" s="239">
        <f>F498</f>
        <v/>
      </c>
      <c r="H498" s="281" t="n">
        <v>45233</v>
      </c>
      <c r="I498" s="250" t="inlineStr">
        <is>
          <t>PIX</t>
        </is>
      </c>
      <c r="J498" s="250" t="n"/>
      <c r="K498" s="236" t="n"/>
      <c r="L498" s="236" t="n"/>
      <c r="M498" s="236" t="n"/>
      <c r="N498" s="236" t="n"/>
      <c r="O498" s="236" t="n"/>
      <c r="P498" s="236" t="n"/>
    </row>
    <row r="499">
      <c r="A499" s="236" t="inlineStr">
        <is>
          <t>Lacan e a Solução Elegante Na Psicose</t>
        </is>
      </c>
      <c r="B499" s="165" t="n">
        <v>1</v>
      </c>
      <c r="C499" s="68" t="n">
        <v>65</v>
      </c>
      <c r="D499" s="68">
        <f>C499*B499</f>
        <v/>
      </c>
      <c r="E499" s="343" t="n"/>
      <c r="F499" s="343" t="n"/>
      <c r="G499" s="343" t="n"/>
      <c r="H499" s="343" t="n"/>
      <c r="I499" s="343" t="n"/>
      <c r="J499" s="343" t="n"/>
      <c r="K499" s="236" t="n"/>
      <c r="L499" s="236" t="n"/>
      <c r="M499" s="236" t="n"/>
      <c r="N499" s="236" t="n"/>
      <c r="O499" s="236" t="n"/>
      <c r="P499" s="236" t="n"/>
    </row>
    <row r="500">
      <c r="A500" s="236" t="inlineStr">
        <is>
          <t>A Morte de Si</t>
        </is>
      </c>
      <c r="B500" s="165" t="n">
        <v>1</v>
      </c>
      <c r="C500" s="68" t="n">
        <v>75</v>
      </c>
      <c r="D500" s="68">
        <f>C500*B500</f>
        <v/>
      </c>
      <c r="E500" s="343" t="n"/>
      <c r="F500" s="343" t="n"/>
      <c r="G500" s="343" t="n"/>
      <c r="H500" s="343" t="n"/>
      <c r="I500" s="343" t="n"/>
      <c r="J500" s="343" t="n"/>
      <c r="K500" s="236" t="n"/>
      <c r="L500" s="236" t="n"/>
      <c r="M500" s="236" t="n"/>
      <c r="N500" s="236" t="n"/>
      <c r="O500" s="236" t="n"/>
      <c r="P500" s="236" t="n"/>
    </row>
    <row r="501">
      <c r="A501" s="236" t="inlineStr">
        <is>
          <t>La Sexualidad Es Transgénero</t>
        </is>
      </c>
      <c r="B501" s="165" t="n">
        <v>1</v>
      </c>
      <c r="C501" s="68" t="n">
        <v>85</v>
      </c>
      <c r="D501" s="68">
        <f>C501*B501</f>
        <v/>
      </c>
      <c r="E501" s="340" t="n"/>
      <c r="F501" s="340" t="n"/>
      <c r="G501" s="340" t="n"/>
      <c r="H501" s="340" t="n"/>
      <c r="I501" s="340" t="n"/>
      <c r="J501" s="340" t="n"/>
      <c r="K501" s="236" t="n"/>
      <c r="L501" s="236" t="n"/>
      <c r="M501" s="236" t="n"/>
      <c r="N501" s="236" t="n"/>
      <c r="O501" s="236" t="n"/>
      <c r="P501" s="236" t="n"/>
    </row>
    <row r="502">
      <c r="A502" s="236" t="inlineStr">
        <is>
          <t>A Recusa na Anorexia</t>
        </is>
      </c>
      <c r="B502" s="165" t="n">
        <v>1</v>
      </c>
      <c r="C502" s="68" t="n">
        <v>100</v>
      </c>
      <c r="D502" s="68">
        <f>C502*B502</f>
        <v/>
      </c>
      <c r="E502" s="90" t="n"/>
      <c r="F502" s="68">
        <f>E502+D502</f>
        <v/>
      </c>
      <c r="G502" s="239">
        <f>F502</f>
        <v/>
      </c>
      <c r="H502" s="240" t="n">
        <v>45233</v>
      </c>
      <c r="I502" s="241" t="inlineStr">
        <is>
          <t>PIX</t>
        </is>
      </c>
      <c r="J502" s="241" t="n"/>
      <c r="K502" s="236" t="n"/>
      <c r="L502" s="236" t="n"/>
      <c r="M502" s="236" t="n"/>
      <c r="N502" s="236" t="n"/>
      <c r="O502" s="236" t="n"/>
      <c r="P502" s="236" t="n"/>
    </row>
    <row r="503">
      <c r="A503" s="236" t="inlineStr">
        <is>
          <t>IPB Seminários - Nieves Soria</t>
        </is>
      </c>
      <c r="B503" s="165" t="n">
        <v>1</v>
      </c>
      <c r="C503" s="68" t="n">
        <v>20</v>
      </c>
      <c r="D503" s="68">
        <f>C503*B503</f>
        <v/>
      </c>
      <c r="E503" s="117" t="n"/>
      <c r="F503" s="68">
        <f>E504+D504+D503</f>
        <v/>
      </c>
      <c r="G503" s="239">
        <f>F503</f>
        <v/>
      </c>
      <c r="H503" s="281" t="n">
        <v>45233</v>
      </c>
      <c r="I503" s="250" t="inlineStr">
        <is>
          <t>PIX</t>
        </is>
      </c>
      <c r="J503" s="250" t="n"/>
      <c r="K503" s="236" t="n"/>
      <c r="L503" s="236" t="n"/>
      <c r="M503" s="236" t="n"/>
      <c r="N503" s="236" t="n"/>
      <c r="O503" s="236" t="n"/>
      <c r="P503" s="236" t="n"/>
    </row>
    <row r="504">
      <c r="A504" s="236" t="inlineStr">
        <is>
          <t>A Morte de Si</t>
        </is>
      </c>
      <c r="B504" s="165" t="n">
        <v>1</v>
      </c>
      <c r="C504" s="68" t="n">
        <v>75</v>
      </c>
      <c r="D504" s="68">
        <f>C504*B504</f>
        <v/>
      </c>
      <c r="E504" s="340" t="n"/>
      <c r="F504" s="340" t="n"/>
      <c r="G504" s="340" t="n"/>
      <c r="H504" s="340" t="n"/>
      <c r="I504" s="340" t="n"/>
      <c r="J504" s="340" t="n"/>
      <c r="K504" s="236" t="n"/>
      <c r="L504" s="236" t="n"/>
      <c r="M504" s="236" t="n"/>
      <c r="N504" s="236" t="n"/>
      <c r="O504" s="236" t="n"/>
      <c r="P504" s="236" t="n"/>
    </row>
    <row r="505">
      <c r="A505" s="236" t="inlineStr">
        <is>
          <t>IPB Seminários - Nieves Soria</t>
        </is>
      </c>
      <c r="B505" s="165" t="n">
        <v>1</v>
      </c>
      <c r="C505" s="68" t="n">
        <v>20</v>
      </c>
      <c r="D505" s="68">
        <f>C505*B505</f>
        <v/>
      </c>
      <c r="E505" s="90" t="n"/>
      <c r="F505" s="68">
        <f>E505+D505</f>
        <v/>
      </c>
      <c r="G505" s="239">
        <f>F505</f>
        <v/>
      </c>
      <c r="H505" s="240" t="n">
        <v>45233</v>
      </c>
      <c r="I505" s="241" t="inlineStr">
        <is>
          <t>PIX</t>
        </is>
      </c>
      <c r="J505" s="241" t="n"/>
      <c r="K505" s="236" t="n"/>
      <c r="L505" s="236" t="n"/>
      <c r="M505" s="236" t="n"/>
      <c r="N505" s="236" t="n"/>
      <c r="O505" s="236" t="n"/>
      <c r="P505" s="236" t="n"/>
    </row>
    <row r="506">
      <c r="A506" s="236" t="inlineStr">
        <is>
          <t>A Morte de Si</t>
        </is>
      </c>
      <c r="B506" s="165" t="n">
        <v>1</v>
      </c>
      <c r="C506" s="68" t="n">
        <v>75</v>
      </c>
      <c r="D506" s="68">
        <f>C506*B506</f>
        <v/>
      </c>
      <c r="E506" s="117" t="n"/>
      <c r="F506" s="68">
        <f>E506+D506+D507</f>
        <v/>
      </c>
      <c r="G506" s="239">
        <f>F506</f>
        <v/>
      </c>
      <c r="H506" s="281" t="n">
        <v>45233</v>
      </c>
      <c r="I506" s="250" t="inlineStr">
        <is>
          <t>PIX</t>
        </is>
      </c>
      <c r="J506" s="250" t="n"/>
      <c r="K506" s="236" t="n"/>
      <c r="L506" s="236" t="n"/>
      <c r="M506" s="236" t="n"/>
      <c r="N506" s="236" t="n"/>
      <c r="O506" s="236" t="n"/>
      <c r="P506" s="236" t="n"/>
    </row>
    <row r="507">
      <c r="A507" s="236" t="inlineStr">
        <is>
          <t>El Fantasma, Aún</t>
        </is>
      </c>
      <c r="B507" s="165" t="n">
        <v>1</v>
      </c>
      <c r="C507" s="68" t="n">
        <v>80</v>
      </c>
      <c r="D507" s="68">
        <f>C507*B507</f>
        <v/>
      </c>
      <c r="E507" s="340" t="n"/>
      <c r="F507" s="340" t="n"/>
      <c r="G507" s="340" t="n"/>
      <c r="H507" s="340" t="n"/>
      <c r="I507" s="340" t="n"/>
      <c r="J507" s="340" t="n"/>
      <c r="K507" s="236" t="n"/>
      <c r="L507" s="236" t="n"/>
      <c r="M507" s="236" t="n"/>
      <c r="N507" s="236" t="n"/>
      <c r="O507" s="236" t="n"/>
      <c r="P507" s="236" t="n"/>
    </row>
    <row r="508">
      <c r="A508" s="236" t="inlineStr">
        <is>
          <t>Felicidade e Sintoma</t>
        </is>
      </c>
      <c r="B508" s="165" t="n">
        <v>1</v>
      </c>
      <c r="C508" s="68" t="n">
        <v>42</v>
      </c>
      <c r="D508" s="68">
        <f>C508*B508</f>
        <v/>
      </c>
      <c r="E508" s="117" t="n"/>
      <c r="F508" s="68">
        <f>E508+D508+D509+D510+D511</f>
        <v/>
      </c>
      <c r="G508" s="239">
        <f>F508</f>
        <v/>
      </c>
      <c r="H508" s="281" t="n">
        <v>45233</v>
      </c>
      <c r="I508" s="250" t="inlineStr">
        <is>
          <t>PIX</t>
        </is>
      </c>
      <c r="J508" s="250" t="n"/>
      <c r="K508" s="236" t="n"/>
      <c r="L508" s="236" t="n"/>
      <c r="M508" s="236" t="n"/>
      <c r="N508" s="236" t="n"/>
      <c r="O508" s="236" t="n"/>
      <c r="P508" s="236" t="n"/>
    </row>
    <row r="509">
      <c r="A509" s="236" t="inlineStr">
        <is>
          <t>El Fantasma, Aún</t>
        </is>
      </c>
      <c r="B509" s="165" t="n">
        <v>1</v>
      </c>
      <c r="C509" s="68" t="n">
        <v>80</v>
      </c>
      <c r="D509" s="68">
        <f>C509*B509</f>
        <v/>
      </c>
      <c r="E509" s="343" t="n"/>
      <c r="F509" s="343" t="n"/>
      <c r="G509" s="343" t="n"/>
      <c r="H509" s="343" t="n"/>
      <c r="I509" s="343" t="n"/>
      <c r="J509" s="343" t="n"/>
      <c r="K509" s="236" t="n"/>
      <c r="L509" s="236" t="n"/>
      <c r="M509" s="236" t="n"/>
      <c r="N509" s="236" t="n"/>
      <c r="O509" s="236" t="n"/>
      <c r="P509" s="236" t="n"/>
    </row>
    <row r="510">
      <c r="A510" s="236" t="inlineStr">
        <is>
          <t>Fundamentos da prática Lacaniana</t>
        </is>
      </c>
      <c r="B510" s="165" t="n">
        <v>1</v>
      </c>
      <c r="C510" s="68" t="n">
        <v>50</v>
      </c>
      <c r="D510" s="68">
        <f>C510*B510</f>
        <v/>
      </c>
      <c r="E510" s="343" t="n"/>
      <c r="F510" s="343" t="n"/>
      <c r="G510" s="343" t="n"/>
      <c r="H510" s="343" t="n"/>
      <c r="I510" s="343" t="n"/>
      <c r="J510" s="343" t="n"/>
      <c r="K510" s="236" t="n"/>
      <c r="L510" s="236" t="n"/>
      <c r="M510" s="236" t="n"/>
      <c r="N510" s="236" t="n"/>
      <c r="O510" s="236" t="n"/>
      <c r="P510" s="236" t="n"/>
    </row>
    <row r="511">
      <c r="A511" s="236" t="inlineStr">
        <is>
          <t>Agente 20</t>
        </is>
      </c>
      <c r="B511" s="165" t="n">
        <v>1</v>
      </c>
      <c r="C511" s="68" t="n">
        <v>70</v>
      </c>
      <c r="D511" s="68">
        <f>C511*B511</f>
        <v/>
      </c>
      <c r="E511" s="340" t="n"/>
      <c r="F511" s="340" t="n"/>
      <c r="G511" s="340" t="n"/>
      <c r="H511" s="340" t="n"/>
      <c r="I511" s="340" t="n"/>
      <c r="J511" s="340" t="n"/>
      <c r="K511" s="236" t="n"/>
      <c r="L511" s="236" t="n"/>
      <c r="M511" s="236" t="n"/>
      <c r="N511" s="236" t="n"/>
      <c r="O511" s="236" t="n"/>
      <c r="P511" s="236" t="n"/>
    </row>
    <row r="512">
      <c r="A512" s="236" t="inlineStr">
        <is>
          <t>A Morte de Si</t>
        </is>
      </c>
      <c r="B512" s="165" t="n">
        <v>1</v>
      </c>
      <c r="C512" s="68" t="n">
        <v>75</v>
      </c>
      <c r="D512" s="68">
        <f>C512*B512</f>
        <v/>
      </c>
      <c r="E512" s="117" t="n"/>
      <c r="F512" s="68">
        <f>E512+D512+D513</f>
        <v/>
      </c>
      <c r="G512" s="239">
        <f>F512</f>
        <v/>
      </c>
      <c r="H512" s="281" t="n">
        <v>45233</v>
      </c>
      <c r="I512" s="250" t="inlineStr">
        <is>
          <t>PIX</t>
        </is>
      </c>
      <c r="J512" s="250" t="n"/>
      <c r="K512" s="236" t="n"/>
      <c r="L512" s="236" t="n"/>
      <c r="M512" s="236" t="n"/>
      <c r="N512" s="236" t="n"/>
      <c r="O512" s="236" t="n"/>
      <c r="P512" s="236" t="n"/>
    </row>
    <row r="513">
      <c r="A513" s="236" t="inlineStr">
        <is>
          <t>El Fantasma, Aún</t>
        </is>
      </c>
      <c r="B513" s="165" t="n">
        <v>1</v>
      </c>
      <c r="C513" s="68" t="n">
        <v>75</v>
      </c>
      <c r="D513" s="68">
        <f>C513*B513</f>
        <v/>
      </c>
      <c r="E513" s="340" t="n"/>
      <c r="F513" s="340" t="n"/>
      <c r="G513" s="340" t="n"/>
      <c r="H513" s="340" t="n"/>
      <c r="I513" s="340" t="n"/>
      <c r="J513" s="340" t="n"/>
      <c r="K513" s="236" t="n"/>
      <c r="L513" s="236" t="n"/>
      <c r="M513" s="236" t="n"/>
      <c r="N513" s="236" t="n"/>
      <c r="O513" s="236" t="n"/>
      <c r="P513" s="236" t="n"/>
    </row>
    <row r="514">
      <c r="A514" s="236" t="inlineStr">
        <is>
          <t>Entre o gozo e o desejo</t>
        </is>
      </c>
      <c r="B514" s="165" t="n">
        <v>1</v>
      </c>
      <c r="C514" s="68" t="n">
        <v>80</v>
      </c>
      <c r="D514" s="68">
        <f>C514*B514</f>
        <v/>
      </c>
      <c r="E514" s="90" t="n"/>
      <c r="F514" s="68">
        <f>E514+D514</f>
        <v/>
      </c>
      <c r="G514" s="239">
        <f>F514</f>
        <v/>
      </c>
      <c r="H514" s="240" t="n">
        <v>45233</v>
      </c>
      <c r="I514" s="241" t="inlineStr">
        <is>
          <t>PIX</t>
        </is>
      </c>
      <c r="J514" s="241" t="n"/>
      <c r="K514" s="236" t="n"/>
      <c r="L514" s="236" t="n"/>
      <c r="M514" s="236" t="n"/>
      <c r="N514" s="236" t="n"/>
      <c r="O514" s="236" t="n"/>
      <c r="P514" s="236" t="n"/>
    </row>
    <row r="515">
      <c r="A515" s="236" t="inlineStr">
        <is>
          <t>Saúde Mental, Psicologia e Psicanálise</t>
        </is>
      </c>
      <c r="B515" s="165" t="n">
        <v>1</v>
      </c>
      <c r="C515" s="68" t="n">
        <v>45</v>
      </c>
      <c r="D515" s="68">
        <f>C515*B515</f>
        <v/>
      </c>
      <c r="E515" s="117" t="n"/>
      <c r="F515" s="68">
        <f>E515+D515+D516+D517+D518</f>
        <v/>
      </c>
      <c r="G515" s="239">
        <f>F515</f>
        <v/>
      </c>
      <c r="H515" s="281" t="n">
        <v>45233</v>
      </c>
      <c r="I515" s="250" t="inlineStr">
        <is>
          <t>PIX</t>
        </is>
      </c>
      <c r="J515" s="250" t="n"/>
      <c r="K515" s="236" t="n"/>
      <c r="L515" s="236" t="n"/>
      <c r="M515" s="236" t="n"/>
      <c r="N515" s="236" t="n"/>
      <c r="O515" s="236" t="n"/>
      <c r="P515" s="236" t="n"/>
    </row>
    <row r="516">
      <c r="A516" s="236" t="inlineStr">
        <is>
          <t>Porvenir Del Autismo</t>
        </is>
      </c>
      <c r="B516" s="165" t="n">
        <v>1</v>
      </c>
      <c r="C516" s="68" t="n">
        <v>120</v>
      </c>
      <c r="D516" s="68">
        <f>C516*B516</f>
        <v/>
      </c>
      <c r="E516" s="343" t="n"/>
      <c r="F516" s="343" t="n"/>
      <c r="G516" s="343" t="n"/>
      <c r="H516" s="343" t="n"/>
      <c r="I516" s="343" t="n"/>
      <c r="J516" s="343" t="n"/>
      <c r="K516" s="236" t="n"/>
      <c r="L516" s="236" t="n"/>
      <c r="M516" s="236" t="n"/>
      <c r="N516" s="236" t="n"/>
      <c r="O516" s="236" t="n"/>
      <c r="P516" s="236" t="n"/>
    </row>
    <row r="517">
      <c r="A517" s="236" t="inlineStr">
        <is>
          <t>El Fantasma, Aún</t>
        </is>
      </c>
      <c r="B517" s="165" t="n">
        <v>1</v>
      </c>
      <c r="C517" s="68" t="n">
        <v>80</v>
      </c>
      <c r="D517" s="68">
        <f>C517*B517</f>
        <v/>
      </c>
      <c r="E517" s="343" t="n"/>
      <c r="F517" s="343" t="n"/>
      <c r="G517" s="343" t="n"/>
      <c r="H517" s="343" t="n"/>
      <c r="I517" s="343" t="n"/>
      <c r="J517" s="343" t="n"/>
      <c r="K517" s="236" t="n"/>
      <c r="L517" s="236" t="n"/>
      <c r="M517" s="236" t="n"/>
      <c r="N517" s="236" t="n"/>
      <c r="O517" s="236" t="n"/>
      <c r="P517" s="236" t="n"/>
    </row>
    <row r="518">
      <c r="A518" s="236" t="inlineStr">
        <is>
          <t>A Morte de Si</t>
        </is>
      </c>
      <c r="B518" s="165" t="n">
        <v>1</v>
      </c>
      <c r="C518" s="68" t="n">
        <v>75</v>
      </c>
      <c r="D518" s="68">
        <f>C518*B518</f>
        <v/>
      </c>
      <c r="E518" s="340" t="n"/>
      <c r="F518" s="340" t="n"/>
      <c r="G518" s="340" t="n"/>
      <c r="H518" s="340" t="n"/>
      <c r="I518" s="340" t="n"/>
      <c r="J518" s="340" t="n"/>
      <c r="K518" s="236" t="n"/>
      <c r="L518" s="236" t="n"/>
      <c r="M518" s="236" t="n"/>
      <c r="N518" s="236" t="n"/>
      <c r="O518" s="236" t="n"/>
      <c r="P518" s="236" t="n"/>
    </row>
    <row r="519">
      <c r="A519" s="236" t="inlineStr">
        <is>
          <t>A Morte de Si</t>
        </is>
      </c>
      <c r="B519" s="165" t="n">
        <v>3</v>
      </c>
      <c r="C519" s="68" t="n">
        <v>75</v>
      </c>
      <c r="D519" s="68">
        <f>C519*B519</f>
        <v/>
      </c>
      <c r="E519" s="117" t="n"/>
      <c r="F519" s="68">
        <f>E519+D519+D520+D521+D522</f>
        <v/>
      </c>
      <c r="G519" s="239">
        <f>F519</f>
        <v/>
      </c>
      <c r="H519" s="281" t="n">
        <v>45233</v>
      </c>
      <c r="I519" s="250" t="inlineStr">
        <is>
          <t>PIX</t>
        </is>
      </c>
      <c r="J519" s="250" t="n"/>
      <c r="K519" s="236" t="n"/>
      <c r="L519" s="236" t="n"/>
      <c r="M519" s="236" t="n"/>
      <c r="N519" s="236" t="n"/>
      <c r="O519" s="236" t="n"/>
      <c r="P519" s="236" t="n"/>
    </row>
    <row r="520">
      <c r="A520" s="236" t="inlineStr">
        <is>
          <t>Las Islas</t>
        </is>
      </c>
      <c r="B520" s="165" t="n">
        <v>1</v>
      </c>
      <c r="C520" s="68" t="n">
        <v>75</v>
      </c>
      <c r="D520" s="68">
        <f>C520*B520</f>
        <v/>
      </c>
      <c r="E520" s="343" t="n"/>
      <c r="F520" s="343" t="n"/>
      <c r="G520" s="343" t="n"/>
      <c r="H520" s="343" t="n"/>
      <c r="I520" s="343" t="n"/>
      <c r="J520" s="343" t="n"/>
      <c r="K520" s="236" t="n"/>
      <c r="L520" s="236" t="n"/>
      <c r="M520" s="236" t="n"/>
      <c r="N520" s="236" t="n"/>
      <c r="O520" s="236" t="n"/>
      <c r="P520" s="236" t="n"/>
    </row>
    <row r="521">
      <c r="A521" s="236" t="inlineStr">
        <is>
          <t>La condición Perversa</t>
        </is>
      </c>
      <c r="B521" s="165" t="n">
        <v>1</v>
      </c>
      <c r="C521" s="68" t="n">
        <v>80</v>
      </c>
      <c r="D521" s="68">
        <f>C521*B521</f>
        <v/>
      </c>
      <c r="E521" s="343" t="n"/>
      <c r="F521" s="343" t="n"/>
      <c r="G521" s="343" t="n"/>
      <c r="H521" s="343" t="n"/>
      <c r="I521" s="343" t="n"/>
      <c r="J521" s="343" t="n"/>
      <c r="K521" s="236" t="n"/>
      <c r="L521" s="236" t="n"/>
      <c r="M521" s="236" t="n"/>
      <c r="N521" s="236" t="n"/>
      <c r="O521" s="236" t="n"/>
      <c r="P521" s="236" t="n"/>
    </row>
    <row r="522">
      <c r="A522" s="236" t="inlineStr">
        <is>
          <t>Entre o gozo e o desejo</t>
        </is>
      </c>
      <c r="B522" s="165" t="n">
        <v>1</v>
      </c>
      <c r="C522" s="68" t="n">
        <v>80</v>
      </c>
      <c r="D522" s="68">
        <f>C522*B522</f>
        <v/>
      </c>
      <c r="E522" s="340" t="n"/>
      <c r="F522" s="340" t="n"/>
      <c r="G522" s="340" t="n"/>
      <c r="H522" s="340" t="n"/>
      <c r="I522" s="340" t="n"/>
      <c r="J522" s="340" t="n"/>
      <c r="K522" s="236" t="n"/>
      <c r="L522" s="236" t="n"/>
      <c r="M522" s="236" t="n"/>
      <c r="N522" s="236" t="n"/>
      <c r="O522" s="236" t="n"/>
      <c r="P522" s="236" t="n"/>
    </row>
    <row r="523">
      <c r="A523" s="236" t="inlineStr">
        <is>
          <t>Despertar e Inventar Em La Adolescencia</t>
        </is>
      </c>
      <c r="B523" s="165" t="n">
        <v>1</v>
      </c>
      <c r="C523" s="68" t="n">
        <v>95</v>
      </c>
      <c r="D523" s="68">
        <f>C523*B523</f>
        <v/>
      </c>
      <c r="E523" s="117" t="n"/>
      <c r="F523" s="68">
        <f>E523+D523+D524</f>
        <v/>
      </c>
      <c r="G523" s="239">
        <f>F523</f>
        <v/>
      </c>
      <c r="H523" s="281" t="n">
        <v>45233</v>
      </c>
      <c r="I523" s="250" t="inlineStr">
        <is>
          <t>PIX</t>
        </is>
      </c>
      <c r="J523" s="250" t="n"/>
      <c r="K523" s="236" t="n"/>
      <c r="L523" s="236" t="n"/>
      <c r="M523" s="236" t="n"/>
      <c r="N523" s="236" t="n"/>
      <c r="O523" s="236" t="n"/>
      <c r="P523" s="236" t="n"/>
    </row>
    <row r="524">
      <c r="A524" s="236" t="inlineStr">
        <is>
          <t>Entre o gozo e o desejo</t>
        </is>
      </c>
      <c r="B524" s="165" t="n">
        <v>1</v>
      </c>
      <c r="C524" s="68" t="n">
        <v>80</v>
      </c>
      <c r="D524" s="68">
        <f>C524*B524</f>
        <v/>
      </c>
      <c r="E524" s="340" t="n"/>
      <c r="F524" s="340" t="n"/>
      <c r="G524" s="340" t="n"/>
      <c r="H524" s="340" t="n"/>
      <c r="I524" s="340" t="n"/>
      <c r="J524" s="340" t="n"/>
      <c r="K524" s="236" t="n"/>
      <c r="L524" s="236" t="n"/>
      <c r="M524" s="236" t="n"/>
      <c r="N524" s="236" t="n"/>
      <c r="O524" s="236" t="n"/>
      <c r="P524" s="236" t="n"/>
    </row>
    <row r="525">
      <c r="A525" s="236" t="inlineStr">
        <is>
          <t>Felicidade e Sintoma</t>
        </is>
      </c>
      <c r="B525" s="165" t="n">
        <v>2</v>
      </c>
      <c r="C525" s="68" t="n">
        <v>42</v>
      </c>
      <c r="D525" s="68">
        <f>C525*B525</f>
        <v/>
      </c>
      <c r="E525" s="117" t="n"/>
      <c r="F525" s="68">
        <f>E525+D525+D526+D527+D528</f>
        <v/>
      </c>
      <c r="G525" s="239">
        <f>F525</f>
        <v/>
      </c>
      <c r="H525" s="281" t="n">
        <v>45233</v>
      </c>
      <c r="I525" s="250" t="inlineStr">
        <is>
          <t>PIX</t>
        </is>
      </c>
      <c r="J525" s="250" t="n"/>
      <c r="K525" s="236" t="n"/>
      <c r="L525" s="236" t="n"/>
      <c r="M525" s="236" t="n"/>
      <c r="N525" s="236" t="n"/>
      <c r="O525" s="236" t="n"/>
      <c r="P525" s="236" t="n"/>
    </row>
    <row r="526">
      <c r="A526" s="236" t="inlineStr">
        <is>
          <t>Agente 16</t>
        </is>
      </c>
      <c r="B526" s="165" t="n">
        <v>1</v>
      </c>
      <c r="C526" s="68" t="n">
        <v>12</v>
      </c>
      <c r="D526" s="68">
        <f>C526*B526</f>
        <v/>
      </c>
      <c r="E526" s="343" t="n"/>
      <c r="F526" s="343" t="n"/>
      <c r="G526" s="343" t="n"/>
      <c r="H526" s="343" t="n"/>
      <c r="I526" s="343" t="n"/>
      <c r="J526" s="343" t="n"/>
      <c r="K526" s="236" t="n"/>
      <c r="L526" s="236" t="n"/>
      <c r="M526" s="236" t="n"/>
      <c r="N526" s="236" t="n"/>
      <c r="O526" s="236" t="n"/>
      <c r="P526" s="236" t="n"/>
    </row>
    <row r="527">
      <c r="A527" s="236" t="inlineStr">
        <is>
          <t>A Morte de Si</t>
        </is>
      </c>
      <c r="B527" s="165" t="n">
        <v>2</v>
      </c>
      <c r="C527" s="68" t="n">
        <v>75</v>
      </c>
      <c r="D527" s="68">
        <f>C527*B527</f>
        <v/>
      </c>
      <c r="E527" s="343" t="n"/>
      <c r="F527" s="343" t="n"/>
      <c r="G527" s="343" t="n"/>
      <c r="H527" s="343" t="n"/>
      <c r="I527" s="343" t="n"/>
      <c r="J527" s="343" t="n"/>
      <c r="K527" s="236" t="n"/>
      <c r="L527" s="236" t="n"/>
      <c r="M527" s="236" t="n"/>
      <c r="N527" s="236" t="n"/>
      <c r="O527" s="236" t="n"/>
      <c r="P527" s="236" t="n"/>
    </row>
    <row r="528">
      <c r="A528" s="236" t="inlineStr">
        <is>
          <t>Agente 20</t>
        </is>
      </c>
      <c r="B528" s="165" t="n">
        <v>1</v>
      </c>
      <c r="C528" s="68" t="n">
        <v>70</v>
      </c>
      <c r="D528" s="68">
        <f>C528*B528</f>
        <v/>
      </c>
      <c r="E528" s="340" t="n"/>
      <c r="F528" s="340" t="n"/>
      <c r="G528" s="340" t="n"/>
      <c r="H528" s="340" t="n"/>
      <c r="I528" s="340" t="n"/>
      <c r="J528" s="340" t="n"/>
      <c r="K528" s="236" t="n"/>
      <c r="L528" s="236" t="n"/>
      <c r="M528" s="236" t="n"/>
      <c r="N528" s="236" t="n"/>
      <c r="O528" s="236" t="n"/>
      <c r="P528" s="236" t="n"/>
    </row>
    <row r="529">
      <c r="A529" s="236" t="inlineStr">
        <is>
          <t>Saúde Mental, Psicologia e Psicanálise</t>
        </is>
      </c>
      <c r="B529" s="165" t="n">
        <v>1</v>
      </c>
      <c r="C529" s="68" t="n">
        <v>45</v>
      </c>
      <c r="D529" s="68">
        <f>C529*B529</f>
        <v/>
      </c>
      <c r="E529" s="117" t="n"/>
      <c r="F529" s="68">
        <f>E529+D529+D530+D531+D532+D533</f>
        <v/>
      </c>
      <c r="G529" s="239">
        <f>F529</f>
        <v/>
      </c>
      <c r="H529" s="281" t="n">
        <v>45233</v>
      </c>
      <c r="I529" s="250" t="inlineStr">
        <is>
          <t>PIX</t>
        </is>
      </c>
      <c r="J529" s="250" t="n"/>
      <c r="K529" s="236" t="n"/>
      <c r="L529" s="236" t="n"/>
      <c r="M529" s="236" t="n"/>
      <c r="N529" s="236" t="n"/>
      <c r="O529" s="236" t="n"/>
      <c r="P529" s="236" t="n"/>
    </row>
    <row r="530">
      <c r="A530" s="236" t="inlineStr">
        <is>
          <t>IPB Seminários - Nieves Soria</t>
        </is>
      </c>
      <c r="B530" s="165" t="n">
        <v>1</v>
      </c>
      <c r="C530" s="68" t="n">
        <v>20</v>
      </c>
      <c r="D530" s="68">
        <f>C530*B530</f>
        <v/>
      </c>
      <c r="E530" s="343" t="n"/>
      <c r="F530" s="343" t="n"/>
      <c r="G530" s="343" t="n"/>
      <c r="H530" s="343" t="n"/>
      <c r="I530" s="343" t="n"/>
      <c r="J530" s="343" t="n"/>
      <c r="K530" s="236" t="n"/>
      <c r="L530" s="236" t="n"/>
      <c r="M530" s="236" t="n"/>
      <c r="N530" s="236" t="n"/>
      <c r="O530" s="236" t="n"/>
      <c r="P530" s="236" t="n"/>
    </row>
    <row r="531">
      <c r="A531" s="236" t="inlineStr">
        <is>
          <t>Correio 54</t>
        </is>
      </c>
      <c r="B531" s="165" t="n">
        <v>1</v>
      </c>
      <c r="C531" s="68" t="n">
        <v>10</v>
      </c>
      <c r="D531" s="68">
        <f>C531*B531</f>
        <v/>
      </c>
      <c r="E531" s="343" t="n"/>
      <c r="F531" s="343" t="n"/>
      <c r="G531" s="343" t="n"/>
      <c r="H531" s="343" t="n"/>
      <c r="I531" s="343" t="n"/>
      <c r="J531" s="343" t="n"/>
      <c r="K531" s="236" t="n"/>
      <c r="L531" s="236" t="n"/>
      <c r="M531" s="236" t="n"/>
      <c r="N531" s="236" t="n"/>
      <c r="O531" s="236" t="n"/>
      <c r="P531" s="236" t="n"/>
    </row>
    <row r="532">
      <c r="A532" s="236" t="inlineStr">
        <is>
          <t>Correio 53</t>
        </is>
      </c>
      <c r="B532" s="165" t="n">
        <v>1</v>
      </c>
      <c r="C532" s="68" t="n">
        <v>10</v>
      </c>
      <c r="D532" s="68">
        <f>C532*B532</f>
        <v/>
      </c>
      <c r="E532" s="343" t="n"/>
      <c r="F532" s="343" t="n"/>
      <c r="G532" s="343" t="n"/>
      <c r="H532" s="343" t="n"/>
      <c r="I532" s="343" t="n"/>
      <c r="J532" s="343" t="n"/>
      <c r="K532" s="236" t="n"/>
      <c r="L532" s="236" t="n"/>
      <c r="M532" s="236" t="n"/>
      <c r="N532" s="236" t="n"/>
      <c r="O532" s="236" t="n"/>
      <c r="P532" s="236" t="n"/>
    </row>
    <row r="533">
      <c r="A533" s="236" t="inlineStr">
        <is>
          <t>Objeto, Corpo e Gozo</t>
        </is>
      </c>
      <c r="B533" s="165" t="n">
        <v>1</v>
      </c>
      <c r="C533" s="68" t="n">
        <v>50</v>
      </c>
      <c r="D533" s="68">
        <f>C533*B533</f>
        <v/>
      </c>
      <c r="E533" s="340" t="n"/>
      <c r="F533" s="340" t="n"/>
      <c r="G533" s="340" t="n"/>
      <c r="H533" s="340" t="n"/>
      <c r="I533" s="340" t="n"/>
      <c r="J533" s="340" t="n"/>
      <c r="K533" s="236" t="n"/>
      <c r="L533" s="236" t="n"/>
      <c r="M533" s="236" t="n"/>
      <c r="N533" s="236" t="n"/>
      <c r="O533" s="236" t="n"/>
      <c r="P533" s="236" t="n"/>
    </row>
    <row r="534">
      <c r="A534" s="236" t="inlineStr">
        <is>
          <t>Correio 57</t>
        </is>
      </c>
      <c r="B534" s="165" t="n">
        <v>1</v>
      </c>
      <c r="C534" s="68" t="n">
        <v>10</v>
      </c>
      <c r="D534" s="68">
        <f>C534*B534</f>
        <v/>
      </c>
      <c r="E534" s="117" t="n"/>
      <c r="F534" s="68">
        <f>E534+D534+D535+D536+D537+D538</f>
        <v/>
      </c>
      <c r="G534" s="239">
        <f>F534</f>
        <v/>
      </c>
      <c r="H534" s="281" t="n">
        <v>45233</v>
      </c>
      <c r="I534" s="250" t="inlineStr">
        <is>
          <t>PIX</t>
        </is>
      </c>
      <c r="J534" s="250" t="n"/>
      <c r="K534" s="236" t="n"/>
      <c r="L534" s="236" t="n"/>
      <c r="M534" s="236" t="n"/>
      <c r="N534" s="236" t="n"/>
      <c r="O534" s="236" t="n"/>
      <c r="P534" s="236" t="n"/>
    </row>
    <row r="535">
      <c r="A535" s="236" t="inlineStr">
        <is>
          <t>Correio 54</t>
        </is>
      </c>
      <c r="B535" s="165" t="n">
        <v>1</v>
      </c>
      <c r="C535" s="68" t="n">
        <v>10</v>
      </c>
      <c r="D535" s="68">
        <f>C535*B535</f>
        <v/>
      </c>
      <c r="E535" s="343" t="n"/>
      <c r="F535" s="343" t="n"/>
      <c r="G535" s="343" t="n"/>
      <c r="H535" s="343" t="n"/>
      <c r="I535" s="343" t="n"/>
      <c r="J535" s="343" t="n"/>
      <c r="K535" s="236" t="n"/>
      <c r="L535" s="236" t="n"/>
      <c r="M535" s="236" t="n"/>
      <c r="N535" s="236" t="n"/>
      <c r="O535" s="236" t="n"/>
      <c r="P535" s="236" t="n"/>
    </row>
    <row r="536">
      <c r="A536" s="236" t="inlineStr">
        <is>
          <t>Correio Especial</t>
        </is>
      </c>
      <c r="B536" s="165" t="n">
        <v>1</v>
      </c>
      <c r="C536" s="68" t="n">
        <v>10</v>
      </c>
      <c r="D536" s="68">
        <f>C536*B536</f>
        <v/>
      </c>
      <c r="E536" s="343" t="n"/>
      <c r="F536" s="343" t="n"/>
      <c r="G536" s="343" t="n"/>
      <c r="H536" s="343" t="n"/>
      <c r="I536" s="343" t="n"/>
      <c r="J536" s="343" t="n"/>
      <c r="K536" s="236" t="n"/>
      <c r="L536" s="236" t="n"/>
      <c r="M536" s="236" t="n"/>
      <c r="N536" s="236" t="n"/>
      <c r="O536" s="236" t="n"/>
      <c r="P536" s="236" t="n"/>
    </row>
    <row r="537">
      <c r="A537" s="236" t="inlineStr">
        <is>
          <t>A neurose obsessiva no feminino</t>
        </is>
      </c>
      <c r="B537" s="165" t="n">
        <v>1</v>
      </c>
      <c r="C537" s="68" t="n">
        <v>48</v>
      </c>
      <c r="D537" s="68">
        <f>C537*B537</f>
        <v/>
      </c>
      <c r="E537" s="343" t="n"/>
      <c r="F537" s="343" t="n"/>
      <c r="G537" s="343" t="n"/>
      <c r="H537" s="343" t="n"/>
      <c r="I537" s="343" t="n"/>
      <c r="J537" s="343" t="n"/>
      <c r="K537" s="236" t="n"/>
      <c r="L537" s="236" t="n"/>
      <c r="M537" s="236" t="n"/>
      <c r="N537" s="236" t="n"/>
      <c r="O537" s="236" t="n"/>
      <c r="P537" s="236" t="n"/>
    </row>
    <row r="538">
      <c r="A538" s="236" t="inlineStr">
        <is>
          <t>Saúde Mental, Psicologia e Psicanálise</t>
        </is>
      </c>
      <c r="B538" s="165" t="n">
        <v>1</v>
      </c>
      <c r="C538" s="68" t="n">
        <v>45</v>
      </c>
      <c r="D538" s="68">
        <f>C538*B538</f>
        <v/>
      </c>
      <c r="E538" s="340" t="n"/>
      <c r="F538" s="340" t="n"/>
      <c r="G538" s="340" t="n"/>
      <c r="H538" s="340" t="n"/>
      <c r="I538" s="340" t="n"/>
      <c r="J538" s="340" t="n"/>
      <c r="K538" s="236" t="n"/>
      <c r="L538" s="236" t="n"/>
      <c r="M538" s="236" t="n"/>
      <c r="N538" s="236" t="n"/>
      <c r="O538" s="236" t="n"/>
      <c r="P538" s="236" t="n"/>
    </row>
    <row r="539">
      <c r="A539" s="236" t="inlineStr">
        <is>
          <t>O ser e o gênero</t>
        </is>
      </c>
      <c r="B539" s="165" t="n">
        <v>1</v>
      </c>
      <c r="C539" s="68" t="n">
        <v>55</v>
      </c>
      <c r="D539" s="68">
        <f>C539*B539</f>
        <v/>
      </c>
      <c r="E539" s="117" t="n"/>
      <c r="F539" s="68">
        <f>E539+D539+D540+D541</f>
        <v/>
      </c>
      <c r="G539" s="239">
        <f>F539</f>
        <v/>
      </c>
      <c r="H539" s="281" t="n">
        <v>45233</v>
      </c>
      <c r="I539" s="250" t="inlineStr">
        <is>
          <t>PIX</t>
        </is>
      </c>
      <c r="J539" s="250" t="n"/>
      <c r="K539" s="236" t="n"/>
      <c r="L539" s="236" t="n"/>
      <c r="M539" s="236" t="n"/>
      <c r="N539" s="236" t="n"/>
      <c r="O539" s="236" t="n"/>
      <c r="P539" s="236" t="n"/>
    </row>
    <row r="540">
      <c r="A540" s="236" t="inlineStr">
        <is>
          <t>Agente 16</t>
        </is>
      </c>
      <c r="B540" s="165" t="n">
        <v>1</v>
      </c>
      <c r="C540" s="68" t="n">
        <v>12</v>
      </c>
      <c r="D540" s="68">
        <f>C540*B540</f>
        <v/>
      </c>
      <c r="E540" s="343" t="n"/>
      <c r="F540" s="343" t="n"/>
      <c r="G540" s="343" t="n"/>
      <c r="H540" s="343" t="n"/>
      <c r="I540" s="343" t="n"/>
      <c r="J540" s="343" t="n"/>
      <c r="K540" s="236" t="n"/>
      <c r="L540" s="236" t="n"/>
      <c r="M540" s="236" t="n"/>
      <c r="N540" s="236" t="n"/>
      <c r="O540" s="236" t="n"/>
      <c r="P540" s="236" t="n"/>
    </row>
    <row r="541">
      <c r="A541" s="236" t="inlineStr">
        <is>
          <t>Fundamentos da prática Lacaniana</t>
        </is>
      </c>
      <c r="B541" s="165" t="n">
        <v>1</v>
      </c>
      <c r="C541" s="68" t="n">
        <v>50</v>
      </c>
      <c r="D541" s="68">
        <f>C541*B541</f>
        <v/>
      </c>
      <c r="E541" s="340" t="n"/>
      <c r="F541" s="340" t="n"/>
      <c r="G541" s="340" t="n"/>
      <c r="H541" s="340" t="n"/>
      <c r="I541" s="340" t="n"/>
      <c r="J541" s="340" t="n"/>
      <c r="K541" s="236" t="n"/>
      <c r="L541" s="236" t="n"/>
      <c r="M541" s="236" t="n"/>
      <c r="N541" s="236" t="n"/>
      <c r="O541" s="236" t="n"/>
      <c r="P541" s="236" t="n"/>
    </row>
    <row r="542">
      <c r="A542" s="236" t="inlineStr">
        <is>
          <t>O campo uniano</t>
        </is>
      </c>
      <c r="B542" s="165" t="n">
        <v>1</v>
      </c>
      <c r="C542" s="68" t="n">
        <v>120</v>
      </c>
      <c r="D542" s="68">
        <f>C542*B542</f>
        <v/>
      </c>
      <c r="E542" s="117" t="n"/>
      <c r="F542" s="68">
        <f>D542+E542</f>
        <v/>
      </c>
      <c r="G542" s="239">
        <f>F542+D543</f>
        <v/>
      </c>
      <c r="H542" s="281" t="n">
        <v>45233</v>
      </c>
      <c r="I542" s="250" t="inlineStr">
        <is>
          <t>PIX</t>
        </is>
      </c>
      <c r="J542" s="250" t="n"/>
      <c r="K542" s="236" t="n"/>
      <c r="L542" s="236" t="n"/>
      <c r="M542" s="236" t="n"/>
      <c r="N542" s="236" t="n"/>
      <c r="O542" s="236" t="n"/>
      <c r="P542" s="236" t="n"/>
    </row>
    <row r="543">
      <c r="A543" s="236" t="inlineStr">
        <is>
          <t>La diferencia de los sexos no existe en el inconsciente</t>
        </is>
      </c>
      <c r="B543" s="165" t="n">
        <v>1</v>
      </c>
      <c r="C543" s="68" t="n">
        <v>85</v>
      </c>
      <c r="D543" s="68">
        <f>C543*B543</f>
        <v/>
      </c>
      <c r="E543" s="340" t="n"/>
      <c r="F543" s="340" t="n"/>
      <c r="G543" s="340" t="n"/>
      <c r="H543" s="340" t="n"/>
      <c r="I543" s="340" t="n"/>
      <c r="J543" s="340" t="n"/>
      <c r="K543" s="236" t="n"/>
      <c r="L543" s="236" t="n"/>
      <c r="M543" s="236" t="n"/>
      <c r="N543" s="236" t="n"/>
      <c r="O543" s="236" t="n"/>
      <c r="P543" s="236" t="n"/>
    </row>
    <row r="544">
      <c r="A544" s="236" t="inlineStr">
        <is>
          <t>A Recusa na Anorexia</t>
        </is>
      </c>
      <c r="B544" s="165" t="n">
        <v>1</v>
      </c>
      <c r="C544" s="68" t="n">
        <v>100</v>
      </c>
      <c r="D544" s="68">
        <f>C544*B544</f>
        <v/>
      </c>
      <c r="E544" s="90" t="n"/>
      <c r="F544" s="68">
        <f>E544+D544</f>
        <v/>
      </c>
      <c r="G544" s="239">
        <f>F544</f>
        <v/>
      </c>
      <c r="H544" s="240" t="n">
        <v>45233</v>
      </c>
      <c r="I544" s="241" t="inlineStr">
        <is>
          <t>PIX</t>
        </is>
      </c>
      <c r="J544" s="241" t="n"/>
      <c r="K544" s="236" t="n"/>
      <c r="L544" s="236" t="n"/>
      <c r="M544" s="236" t="n"/>
      <c r="N544" s="236" t="n"/>
      <c r="O544" s="236" t="n"/>
      <c r="P544" s="236" t="n"/>
    </row>
    <row r="545">
      <c r="A545" s="236" t="inlineStr">
        <is>
          <t>Felicidade e Sintoma</t>
        </is>
      </c>
      <c r="B545" s="165" t="n">
        <v>1</v>
      </c>
      <c r="C545" s="68" t="n">
        <v>42</v>
      </c>
      <c r="D545" s="68">
        <f>C545*B545</f>
        <v/>
      </c>
      <c r="E545" s="117" t="n"/>
      <c r="F545" s="68">
        <f>E545+D545+D546</f>
        <v/>
      </c>
      <c r="G545" s="239">
        <f>F545</f>
        <v/>
      </c>
      <c r="H545" s="281" t="n">
        <v>45233</v>
      </c>
      <c r="I545" s="250" t="inlineStr">
        <is>
          <t>PIX</t>
        </is>
      </c>
      <c r="J545" s="250" t="n"/>
      <c r="K545" s="236" t="n"/>
      <c r="L545" s="236" t="n"/>
      <c r="M545" s="236" t="n"/>
      <c r="N545" s="236" t="n"/>
      <c r="O545" s="236" t="n"/>
      <c r="P545" s="236" t="n"/>
    </row>
    <row r="546">
      <c r="A546" s="236" t="inlineStr">
        <is>
          <t>Histeria e Saúde Mental</t>
        </is>
      </c>
      <c r="B546" s="165" t="n">
        <v>1</v>
      </c>
      <c r="C546" s="68" t="n">
        <v>25</v>
      </c>
      <c r="D546" s="68">
        <f>C546*B546</f>
        <v/>
      </c>
      <c r="E546" s="340" t="n"/>
      <c r="F546" s="340" t="n"/>
      <c r="G546" s="340" t="n"/>
      <c r="H546" s="340" t="n"/>
      <c r="I546" s="340" t="n"/>
      <c r="J546" s="340" t="n"/>
      <c r="K546" s="236" t="n"/>
      <c r="L546" s="236" t="n"/>
      <c r="M546" s="236" t="n"/>
      <c r="N546" s="236" t="n"/>
      <c r="O546" s="236" t="n"/>
      <c r="P546" s="236" t="n"/>
    </row>
    <row r="547">
      <c r="A547" s="236" t="inlineStr">
        <is>
          <t>Entre o gozo e o desejo</t>
        </is>
      </c>
      <c r="B547" s="165" t="n">
        <v>1</v>
      </c>
      <c r="C547" s="68" t="n">
        <v>80</v>
      </c>
      <c r="D547" s="68">
        <f>C547*B547</f>
        <v/>
      </c>
      <c r="E547" s="90" t="n"/>
      <c r="F547" s="68">
        <f>E547+D547+D548+D549+D550</f>
        <v/>
      </c>
      <c r="G547" s="239">
        <f>F547</f>
        <v/>
      </c>
      <c r="H547" s="240" t="n">
        <v>45233</v>
      </c>
      <c r="I547" s="241" t="inlineStr">
        <is>
          <t>PIX</t>
        </is>
      </c>
      <c r="J547" s="241" t="n"/>
      <c r="K547" s="236" t="n"/>
      <c r="L547" s="236" t="n"/>
      <c r="M547" s="236" t="n"/>
      <c r="N547" s="236" t="n"/>
      <c r="O547" s="236" t="n"/>
      <c r="P547" s="236" t="n"/>
    </row>
    <row r="548">
      <c r="A548" s="236" t="inlineStr">
        <is>
          <t>Felicidade e Sintoma</t>
        </is>
      </c>
      <c r="B548" s="165" t="n">
        <v>1</v>
      </c>
      <c r="C548" s="68" t="n">
        <v>42</v>
      </c>
      <c r="D548" s="68">
        <f>C548*B548</f>
        <v/>
      </c>
      <c r="E548" s="343" t="n"/>
      <c r="F548" s="343" t="n"/>
      <c r="G548" s="343" t="n"/>
      <c r="H548" s="343" t="n"/>
      <c r="I548" s="343" t="n"/>
      <c r="J548" s="343" t="n"/>
      <c r="K548" s="236" t="n"/>
      <c r="L548" s="236" t="n"/>
      <c r="M548" s="236" t="n"/>
      <c r="N548" s="236" t="n"/>
      <c r="O548" s="236" t="n"/>
      <c r="P548" s="236" t="n"/>
    </row>
    <row r="549">
      <c r="A549" s="236" t="inlineStr">
        <is>
          <t>Fundamentos da prática Lacaniana</t>
        </is>
      </c>
      <c r="B549" s="165" t="n">
        <v>1</v>
      </c>
      <c r="C549" s="68" t="n">
        <v>50</v>
      </c>
      <c r="D549" s="68">
        <f>C549*B549</f>
        <v/>
      </c>
      <c r="E549" s="343" t="n"/>
      <c r="F549" s="343" t="n"/>
      <c r="G549" s="343" t="n"/>
      <c r="H549" s="343" t="n"/>
      <c r="I549" s="343" t="n"/>
      <c r="J549" s="343" t="n"/>
      <c r="K549" s="236" t="n"/>
      <c r="L549" s="236" t="n"/>
      <c r="M549" s="236" t="n"/>
      <c r="N549" s="236" t="n"/>
      <c r="O549" s="236" t="n"/>
      <c r="P549" s="236" t="n"/>
    </row>
    <row r="550">
      <c r="A550" s="236" t="inlineStr">
        <is>
          <t>Correio 53</t>
        </is>
      </c>
      <c r="B550" s="165" t="n">
        <v>1</v>
      </c>
      <c r="C550" s="68" t="n">
        <v>10</v>
      </c>
      <c r="D550" s="68">
        <f>C550*B550</f>
        <v/>
      </c>
      <c r="E550" s="340" t="n"/>
      <c r="F550" s="340" t="n"/>
      <c r="G550" s="340" t="n"/>
      <c r="H550" s="340" t="n"/>
      <c r="I550" s="340" t="n"/>
      <c r="J550" s="340" t="n"/>
      <c r="K550" s="236" t="n"/>
      <c r="L550" s="236" t="n"/>
      <c r="M550" s="236" t="n"/>
      <c r="N550" s="236" t="n"/>
      <c r="O550" s="236" t="n"/>
      <c r="P550" s="236" t="n"/>
    </row>
    <row r="551">
      <c r="A551" s="236" t="inlineStr">
        <is>
          <t>O campo uniano</t>
        </is>
      </c>
      <c r="B551" s="165" t="n">
        <v>1</v>
      </c>
      <c r="C551" s="68" t="n">
        <v>120</v>
      </c>
      <c r="D551" s="68">
        <f>C551*B551</f>
        <v/>
      </c>
      <c r="E551" s="90" t="n"/>
      <c r="F551" s="68">
        <f>E551+D551</f>
        <v/>
      </c>
      <c r="G551" s="239">
        <f>F551</f>
        <v/>
      </c>
      <c r="H551" s="240" t="n">
        <v>45233</v>
      </c>
      <c r="I551" s="241" t="inlineStr">
        <is>
          <t>PIX</t>
        </is>
      </c>
      <c r="J551" s="279" t="n"/>
      <c r="K551" s="236" t="n"/>
      <c r="L551" s="236" t="n"/>
      <c r="M551" s="236" t="n"/>
      <c r="N551" s="236" t="n"/>
      <c r="O551" s="236" t="n"/>
      <c r="P551" s="236" t="n"/>
    </row>
    <row r="552">
      <c r="A552" s="236" t="inlineStr">
        <is>
          <t>O campo uniano</t>
        </is>
      </c>
      <c r="B552" s="165" t="n">
        <v>1</v>
      </c>
      <c r="C552" s="68" t="n">
        <v>120</v>
      </c>
      <c r="D552" s="68">
        <f>C552*B552</f>
        <v/>
      </c>
      <c r="E552" s="90" t="n"/>
      <c r="F552" s="68">
        <f>E552+D552</f>
        <v/>
      </c>
      <c r="G552" s="239">
        <f>F552</f>
        <v/>
      </c>
      <c r="H552" s="240" t="n">
        <v>45233</v>
      </c>
      <c r="I552" s="241" t="inlineStr">
        <is>
          <t>PIX</t>
        </is>
      </c>
      <c r="J552" s="241" t="n"/>
      <c r="K552" s="111" t="n"/>
      <c r="L552" s="111" t="n"/>
      <c r="M552" s="111" t="n"/>
      <c r="N552" s="111" t="n"/>
      <c r="O552" s="111" t="n"/>
      <c r="P552" s="111" t="n"/>
    </row>
    <row r="553">
      <c r="A553" s="236" t="inlineStr">
        <is>
          <t>Agente 14</t>
        </is>
      </c>
      <c r="B553" s="165" t="n">
        <v>1</v>
      </c>
      <c r="C553" s="68" t="n">
        <v>12</v>
      </c>
      <c r="D553" s="68">
        <f>C553*B553</f>
        <v/>
      </c>
      <c r="E553" s="90" t="n"/>
      <c r="F553" s="68">
        <f>E553+D553</f>
        <v/>
      </c>
      <c r="G553" s="255">
        <f>F553</f>
        <v/>
      </c>
      <c r="H553" s="256" t="n">
        <v>45233</v>
      </c>
      <c r="I553" s="257" t="inlineStr">
        <is>
          <t>PIX</t>
        </is>
      </c>
      <c r="J553" s="280" t="n"/>
      <c r="K553" s="111" t="n"/>
      <c r="L553" s="111" t="n"/>
      <c r="M553" s="111" t="n"/>
      <c r="N553" s="111" t="n"/>
      <c r="O553" s="111" t="n"/>
      <c r="P553" s="111" t="n"/>
    </row>
    <row r="554">
      <c r="A554" s="236" t="inlineStr">
        <is>
          <t>A MULHER: NASCER DE UM MAL-ENTENDIDO</t>
        </is>
      </c>
      <c r="B554" s="165" t="n">
        <v>1</v>
      </c>
      <c r="C554" s="68" t="n">
        <v>80</v>
      </c>
      <c r="D554" s="68">
        <f>C554*B554</f>
        <v/>
      </c>
      <c r="E554" s="90" t="n"/>
      <c r="F554" s="68">
        <f>E554+D554</f>
        <v/>
      </c>
      <c r="G554" s="239">
        <f>F554</f>
        <v/>
      </c>
      <c r="H554" s="281" t="n">
        <v>45233</v>
      </c>
      <c r="I554" s="250" t="inlineStr">
        <is>
          <t>PIX</t>
        </is>
      </c>
      <c r="J554" s="282" t="n"/>
      <c r="K554" s="111" t="n"/>
      <c r="L554" s="111" t="n"/>
      <c r="M554" s="111" t="n"/>
      <c r="N554" s="111" t="n"/>
      <c r="O554" s="111" t="n"/>
      <c r="P554" s="111" t="n"/>
    </row>
    <row r="555">
      <c r="A555" s="236" t="inlineStr">
        <is>
          <t>Correio 53</t>
        </is>
      </c>
      <c r="B555" s="165" t="n">
        <v>1</v>
      </c>
      <c r="C555" s="68" t="n">
        <v>10</v>
      </c>
      <c r="D555" s="68">
        <f>C555*B555</f>
        <v/>
      </c>
      <c r="E555" s="117" t="n"/>
      <c r="F555" s="87">
        <f>E555+D555+D556+D557+D558</f>
        <v/>
      </c>
      <c r="G555" s="239">
        <f>F555</f>
        <v/>
      </c>
      <c r="H555" s="281" t="n">
        <v>45233</v>
      </c>
      <c r="I555" s="250" t="inlineStr">
        <is>
          <t>PIX</t>
        </is>
      </c>
      <c r="J555" s="285" t="n"/>
      <c r="K555" s="236" t="n"/>
      <c r="L555" s="236" t="n"/>
      <c r="M555" s="236" t="n"/>
      <c r="N555" s="236" t="n"/>
      <c r="O555" s="236" t="n"/>
      <c r="P555" s="236" t="n"/>
      <c r="Q555" s="236" t="n"/>
      <c r="R555" s="236" t="n"/>
      <c r="S555" s="236" t="n"/>
      <c r="T555" s="236" t="n"/>
      <c r="U555" s="236" t="n"/>
      <c r="V555" s="236" t="n"/>
      <c r="W555" s="236" t="n"/>
      <c r="X555" s="236" t="n"/>
      <c r="Y555" s="236" t="n"/>
      <c r="Z555" s="236" t="n"/>
    </row>
    <row r="556">
      <c r="A556" s="236" t="inlineStr">
        <is>
          <t>Agente 16</t>
        </is>
      </c>
      <c r="B556" s="165" t="n">
        <v>1</v>
      </c>
      <c r="C556" s="68" t="n">
        <v>12</v>
      </c>
      <c r="D556" s="68">
        <f>C556*B556</f>
        <v/>
      </c>
      <c r="E556" s="343" t="n"/>
      <c r="F556" s="343" t="n"/>
      <c r="G556" s="343" t="n"/>
      <c r="H556" s="343" t="n"/>
      <c r="I556" s="343" t="n"/>
      <c r="J556" s="343" t="n"/>
      <c r="K556" s="236" t="n"/>
      <c r="L556" s="236" t="n"/>
      <c r="M556" s="236" t="n"/>
      <c r="N556" s="236" t="n"/>
      <c r="O556" s="236" t="n"/>
      <c r="P556" s="236" t="n"/>
      <c r="Q556" s="236" t="n"/>
      <c r="R556" s="236" t="n"/>
      <c r="S556" s="236" t="n"/>
      <c r="T556" s="236" t="n"/>
      <c r="U556" s="236" t="n"/>
      <c r="V556" s="236" t="n"/>
      <c r="W556" s="236" t="n"/>
      <c r="X556" s="236" t="n"/>
      <c r="Y556" s="236" t="n"/>
      <c r="Z556" s="236" t="n"/>
    </row>
    <row r="557">
      <c r="A557" s="236" t="inlineStr">
        <is>
          <t>IPB Seminários - Nieves Soria</t>
        </is>
      </c>
      <c r="B557" s="165" t="n">
        <v>1</v>
      </c>
      <c r="C557" s="68" t="n">
        <v>20</v>
      </c>
      <c r="D557" s="68">
        <f>C557*B557</f>
        <v/>
      </c>
      <c r="E557" s="343" t="n"/>
      <c r="F557" s="343" t="n"/>
      <c r="G557" s="343" t="n"/>
      <c r="H557" s="343" t="n"/>
      <c r="I557" s="343" t="n"/>
      <c r="J557" s="343" t="n"/>
      <c r="K557" s="199" t="n"/>
      <c r="L557" s="199" t="n"/>
      <c r="M557" s="199" t="n"/>
      <c r="N557" s="199" t="n"/>
      <c r="O557" s="199" t="n"/>
      <c r="P557" s="199" t="n"/>
    </row>
    <row r="558">
      <c r="A558" s="111" t="inlineStr">
        <is>
          <t>Agente 14</t>
        </is>
      </c>
      <c r="B558" s="84" t="n">
        <v>1</v>
      </c>
      <c r="C558" s="180" t="n">
        <v>15</v>
      </c>
      <c r="D558" s="180">
        <f>C558*B558</f>
        <v/>
      </c>
      <c r="E558" s="340" t="n"/>
      <c r="F558" s="340" t="n"/>
      <c r="G558" s="340" t="n"/>
      <c r="H558" s="340" t="n"/>
      <c r="I558" s="340" t="n"/>
      <c r="J558" s="340" t="n"/>
      <c r="K558" s="236" t="n"/>
      <c r="L558" s="236" t="n"/>
      <c r="M558" s="236" t="n"/>
      <c r="N558" s="236" t="n"/>
      <c r="O558" s="236" t="n"/>
      <c r="P558" s="236" t="n"/>
    </row>
    <row r="559">
      <c r="A559" s="111" t="inlineStr">
        <is>
          <t>Agente 14</t>
        </is>
      </c>
      <c r="B559" s="84" t="n">
        <v>1</v>
      </c>
      <c r="C559" s="180" t="n">
        <v>15</v>
      </c>
      <c r="D559" s="180">
        <f>C559*B559</f>
        <v/>
      </c>
      <c r="E559" s="117" t="n"/>
      <c r="F559" s="87">
        <f>E559+D559+D560</f>
        <v/>
      </c>
      <c r="G559" s="239">
        <f>F559</f>
        <v/>
      </c>
      <c r="H559" s="281" t="n">
        <v>45233</v>
      </c>
      <c r="I559" s="250" t="inlineStr">
        <is>
          <t>PIX</t>
        </is>
      </c>
      <c r="J559" s="285" t="n"/>
      <c r="K559" s="236" t="n"/>
      <c r="L559" s="236" t="n"/>
      <c r="M559" s="236" t="n"/>
      <c r="N559" s="236" t="n"/>
      <c r="O559" s="236" t="n"/>
      <c r="P559" s="236" t="n"/>
    </row>
    <row r="560">
      <c r="A560" s="111" t="inlineStr">
        <is>
          <t>Correio 57</t>
        </is>
      </c>
      <c r="B560" s="84" t="n">
        <v>1</v>
      </c>
      <c r="C560" s="89" t="n">
        <v>10</v>
      </c>
      <c r="D560" s="89">
        <f>C560*B560</f>
        <v/>
      </c>
      <c r="E560" s="340" t="n"/>
      <c r="F560" s="340" t="n"/>
      <c r="G560" s="340" t="n"/>
      <c r="H560" s="340" t="n"/>
      <c r="I560" s="340" t="n"/>
      <c r="J560" s="340" t="n"/>
      <c r="K560" s="236" t="n"/>
      <c r="L560" s="236" t="n"/>
      <c r="M560" s="236" t="n"/>
      <c r="N560" s="236" t="n"/>
      <c r="O560" s="236" t="n"/>
      <c r="P560" s="236" t="n"/>
    </row>
    <row r="561">
      <c r="A561" s="236" t="inlineStr">
        <is>
          <t>Histeria e Saúde Mental</t>
        </is>
      </c>
      <c r="B561" s="165" t="n">
        <v>1</v>
      </c>
      <c r="C561" s="87" t="n">
        <v>25</v>
      </c>
      <c r="D561" s="87">
        <f>C561*B561</f>
        <v/>
      </c>
      <c r="E561" s="117">
        <f>D561</f>
        <v/>
      </c>
      <c r="F561" s="87">
        <f>E561</f>
        <v/>
      </c>
      <c r="G561" s="239">
        <f>F561</f>
        <v/>
      </c>
      <c r="H561" s="281" t="n">
        <v>45233</v>
      </c>
      <c r="I561" s="250" t="inlineStr">
        <is>
          <t>PIX</t>
        </is>
      </c>
      <c r="J561" s="285" t="n"/>
      <c r="K561" s="236" t="n"/>
      <c r="L561" s="236" t="n"/>
      <c r="M561" s="236" t="n"/>
      <c r="N561" s="236" t="n"/>
      <c r="O561" s="236" t="n"/>
      <c r="P561" s="236" t="n"/>
    </row>
    <row r="562">
      <c r="A562" s="236" t="inlineStr">
        <is>
          <t>O que esse menino tem?</t>
        </is>
      </c>
      <c r="B562" s="165" t="n">
        <v>1</v>
      </c>
      <c r="C562" s="87" t="n">
        <v>50</v>
      </c>
      <c r="D562" s="87">
        <f>C562*B562</f>
        <v/>
      </c>
      <c r="E562" s="117">
        <f>D562</f>
        <v/>
      </c>
      <c r="F562" s="87">
        <f>E562</f>
        <v/>
      </c>
      <c r="G562" s="239">
        <f>F562</f>
        <v/>
      </c>
      <c r="H562" s="281" t="n">
        <v>45233</v>
      </c>
      <c r="I562" s="250" t="inlineStr">
        <is>
          <t>PIX</t>
        </is>
      </c>
      <c r="J562" s="285" t="n"/>
      <c r="K562" s="236" t="n"/>
      <c r="L562" s="236" t="n"/>
      <c r="M562" s="236" t="n"/>
      <c r="N562" s="236" t="n"/>
      <c r="O562" s="236" t="n"/>
      <c r="P562" s="236" t="n"/>
    </row>
    <row r="563">
      <c r="A563" s="199" t="inlineStr">
        <is>
          <t>Correio 54</t>
        </is>
      </c>
      <c r="B563" s="94" t="n">
        <v>1</v>
      </c>
      <c r="C563" s="178" t="n">
        <v>10</v>
      </c>
      <c r="D563" s="178">
        <f>C563*B563</f>
        <v/>
      </c>
      <c r="E563" s="117" t="n"/>
      <c r="F563" s="68">
        <f>E563+D563+D564+D565+D566+D567</f>
        <v/>
      </c>
      <c r="G563" s="239">
        <f>F563</f>
        <v/>
      </c>
      <c r="H563" s="281" t="n">
        <v>45233</v>
      </c>
      <c r="I563" s="250" t="inlineStr">
        <is>
          <t>PIX</t>
        </is>
      </c>
      <c r="J563" s="351" t="n"/>
      <c r="K563" s="236" t="n"/>
      <c r="L563" s="236" t="n"/>
      <c r="M563" s="236" t="n"/>
      <c r="N563" s="236" t="n"/>
      <c r="O563" s="236" t="n"/>
      <c r="P563" s="236" t="n"/>
    </row>
    <row r="564">
      <c r="A564" s="236" t="inlineStr">
        <is>
          <t>Correio 57</t>
        </is>
      </c>
      <c r="B564" s="165" t="n">
        <v>1</v>
      </c>
      <c r="C564" s="68" t="n">
        <v>10</v>
      </c>
      <c r="D564" s="68">
        <f>C564*B564</f>
        <v/>
      </c>
      <c r="E564" s="343" t="n"/>
      <c r="F564" s="343" t="n"/>
      <c r="G564" s="343" t="n"/>
      <c r="H564" s="343" t="n"/>
      <c r="I564" s="343" t="n"/>
      <c r="J564" s="343" t="n"/>
      <c r="K564" s="236" t="n"/>
      <c r="L564" s="236" t="n"/>
      <c r="M564" s="236" t="n"/>
      <c r="N564" s="236" t="n"/>
      <c r="O564" s="236" t="n"/>
      <c r="P564" s="236" t="n"/>
    </row>
    <row r="565">
      <c r="A565" s="236" t="inlineStr">
        <is>
          <t>Correio Especial</t>
        </is>
      </c>
      <c r="B565" s="165" t="n">
        <v>1</v>
      </c>
      <c r="C565" s="68" t="n">
        <v>10</v>
      </c>
      <c r="D565" s="68">
        <f>C565*B565</f>
        <v/>
      </c>
      <c r="E565" s="343" t="n"/>
      <c r="F565" s="343" t="n"/>
      <c r="G565" s="343" t="n"/>
      <c r="H565" s="343" t="n"/>
      <c r="I565" s="343" t="n"/>
      <c r="J565" s="343" t="n"/>
      <c r="K565" s="236" t="n"/>
      <c r="L565" s="236" t="n"/>
      <c r="M565" s="236" t="n"/>
      <c r="N565" s="236" t="n"/>
      <c r="O565" s="236" t="n"/>
      <c r="P565" s="236" t="n"/>
    </row>
    <row r="566">
      <c r="A566" s="236" t="inlineStr">
        <is>
          <t>Agente 16</t>
        </is>
      </c>
      <c r="B566" s="165" t="n">
        <v>1</v>
      </c>
      <c r="C566" s="68" t="n">
        <v>12</v>
      </c>
      <c r="D566" s="68">
        <f>C566*B566</f>
        <v/>
      </c>
      <c r="E566" s="343" t="n"/>
      <c r="F566" s="343" t="n"/>
      <c r="G566" s="343" t="n"/>
      <c r="H566" s="343" t="n"/>
      <c r="I566" s="343" t="n"/>
      <c r="J566" s="343" t="n"/>
      <c r="K566" s="236" t="n"/>
      <c r="L566" s="236" t="n"/>
      <c r="M566" s="236" t="n"/>
      <c r="N566" s="236" t="n"/>
      <c r="O566" s="236" t="n"/>
      <c r="P566" s="236" t="n"/>
    </row>
    <row r="567">
      <c r="A567" s="236" t="inlineStr">
        <is>
          <t>Histeria e Saúde Mental</t>
        </is>
      </c>
      <c r="B567" s="165" t="n">
        <v>1</v>
      </c>
      <c r="C567" s="68" t="n">
        <v>25</v>
      </c>
      <c r="D567" s="68">
        <f>C567*B567</f>
        <v/>
      </c>
      <c r="E567" s="340" t="n"/>
      <c r="F567" s="340" t="n"/>
      <c r="G567" s="340" t="n"/>
      <c r="H567" s="340" t="n"/>
      <c r="I567" s="340" t="n"/>
      <c r="J567" s="340" t="n"/>
      <c r="K567" s="236" t="n"/>
      <c r="L567" s="236" t="n"/>
      <c r="M567" s="236" t="n"/>
      <c r="N567" s="236" t="n"/>
      <c r="O567" s="236" t="n"/>
      <c r="P567" s="236" t="n"/>
    </row>
    <row r="568">
      <c r="A568" s="236" t="inlineStr">
        <is>
          <t>Felicidade e Sintoma</t>
        </is>
      </c>
      <c r="B568" s="165" t="n">
        <v>1</v>
      </c>
      <c r="C568" s="68" t="n">
        <v>42</v>
      </c>
      <c r="D568" s="68">
        <f>C568*B568</f>
        <v/>
      </c>
      <c r="E568" s="90" t="n"/>
      <c r="F568" s="68">
        <f>E568+D568</f>
        <v/>
      </c>
      <c r="G568" s="239">
        <f>F568</f>
        <v/>
      </c>
      <c r="H568" s="281" t="n">
        <v>45233</v>
      </c>
      <c r="I568" s="250" t="inlineStr">
        <is>
          <t>PIX</t>
        </is>
      </c>
      <c r="J568" s="288" t="n"/>
      <c r="K568" s="236" t="n"/>
      <c r="L568" s="236" t="n"/>
      <c r="M568" s="236" t="n"/>
      <c r="N568" s="236" t="n"/>
      <c r="O568" s="236" t="n"/>
      <c r="P568" s="236" t="n"/>
    </row>
    <row r="569">
      <c r="A569" s="236" t="inlineStr">
        <is>
          <t>Agente 20</t>
        </is>
      </c>
      <c r="B569" s="165" t="n">
        <v>1</v>
      </c>
      <c r="C569" s="68" t="n">
        <v>70</v>
      </c>
      <c r="D569" s="68">
        <f>C569*B569</f>
        <v/>
      </c>
      <c r="E569" s="117" t="n"/>
      <c r="F569" s="68">
        <f>E569+D569+D570</f>
        <v/>
      </c>
      <c r="G569" s="239">
        <f>F569</f>
        <v/>
      </c>
      <c r="H569" s="281" t="n">
        <v>45233</v>
      </c>
      <c r="I569" s="250" t="inlineStr">
        <is>
          <t>PIX</t>
        </is>
      </c>
      <c r="J569" s="282" t="n"/>
      <c r="K569" s="236" t="n"/>
      <c r="L569" s="236" t="n"/>
      <c r="M569" s="236" t="n"/>
      <c r="N569" s="236" t="n"/>
      <c r="O569" s="236" t="n"/>
      <c r="P569" s="236" t="n"/>
    </row>
    <row r="570">
      <c r="A570" s="236" t="inlineStr">
        <is>
          <t>Agente 16</t>
        </is>
      </c>
      <c r="B570" s="165" t="n">
        <v>1</v>
      </c>
      <c r="C570" s="68" t="n">
        <v>12</v>
      </c>
      <c r="D570" s="68">
        <f>C570*B570</f>
        <v/>
      </c>
      <c r="E570" s="340" t="n"/>
      <c r="F570" s="340" t="n"/>
      <c r="G570" s="340" t="n"/>
      <c r="H570" s="340" t="n"/>
      <c r="I570" s="340" t="n"/>
      <c r="J570" s="340" t="n"/>
      <c r="K570" s="236" t="n"/>
      <c r="L570" s="236" t="n"/>
      <c r="M570" s="236" t="n"/>
      <c r="N570" s="236" t="n"/>
      <c r="O570" s="236" t="n"/>
      <c r="P570" s="236" t="n"/>
    </row>
    <row r="571">
      <c r="A571" s="236" t="inlineStr">
        <is>
          <t>A MULHER: NASCER DE UM MAL-ENTENDIDO</t>
        </is>
      </c>
      <c r="B571" s="165" t="n">
        <v>1</v>
      </c>
      <c r="C571" s="68" t="n">
        <v>80</v>
      </c>
      <c r="D571" s="68">
        <f>C571*B571</f>
        <v/>
      </c>
      <c r="E571" s="90" t="n"/>
      <c r="F571" s="68">
        <f>E571+D571</f>
        <v/>
      </c>
      <c r="G571" s="239">
        <f>F571</f>
        <v/>
      </c>
      <c r="H571" s="281" t="n">
        <v>45233</v>
      </c>
      <c r="I571" s="250" t="inlineStr">
        <is>
          <t>PIX</t>
        </is>
      </c>
      <c r="J571" s="282" t="n"/>
      <c r="K571" s="236" t="n"/>
      <c r="L571" s="236" t="n"/>
      <c r="M571" s="236" t="n"/>
      <c r="N571" s="236" t="n"/>
      <c r="O571" s="236" t="n"/>
      <c r="P571" s="236" t="n"/>
    </row>
    <row r="572">
      <c r="A572" s="236" t="inlineStr">
        <is>
          <t>Lacan e a Solução Elegante Na Psicose</t>
        </is>
      </c>
      <c r="B572" s="165" t="n">
        <v>1</v>
      </c>
      <c r="C572" s="68" t="n">
        <v>65</v>
      </c>
      <c r="D572" s="68">
        <f>C572*B572</f>
        <v/>
      </c>
      <c r="E572" s="117" t="n"/>
      <c r="F572" s="68">
        <f>E572+D572+D573+D574</f>
        <v/>
      </c>
      <c r="G572" s="239">
        <f>F572</f>
        <v/>
      </c>
      <c r="H572" s="281" t="n">
        <v>45233</v>
      </c>
      <c r="I572" s="250" t="inlineStr">
        <is>
          <t>PIX</t>
        </is>
      </c>
      <c r="J572" s="285" t="n"/>
      <c r="K572" s="236" t="n"/>
      <c r="L572" s="236" t="n"/>
      <c r="M572" s="236" t="n"/>
      <c r="N572" s="236" t="n"/>
      <c r="O572" s="236" t="n"/>
      <c r="P572" s="236" t="n"/>
    </row>
    <row r="573">
      <c r="A573" s="236" t="inlineStr">
        <is>
          <t>Introduccion a la clínica con toxicomanias y alcoholismo</t>
        </is>
      </c>
      <c r="B573" s="165" t="n">
        <v>1</v>
      </c>
      <c r="C573" s="68" t="n">
        <v>60</v>
      </c>
      <c r="D573" s="68">
        <f>C573*B573</f>
        <v/>
      </c>
      <c r="E573" s="343" t="n"/>
      <c r="F573" s="343" t="n"/>
      <c r="G573" s="343" t="n"/>
      <c r="H573" s="343" t="n"/>
      <c r="I573" s="343" t="n"/>
      <c r="J573" s="343" t="n"/>
      <c r="K573" s="236" t="n"/>
      <c r="L573" s="236" t="n"/>
      <c r="M573" s="236" t="n"/>
      <c r="N573" s="236" t="n"/>
      <c r="O573" s="236" t="n"/>
      <c r="P573" s="236" t="n"/>
    </row>
    <row r="574">
      <c r="A574" s="236" t="inlineStr">
        <is>
          <t>La Sexualidad Es Transgénero</t>
        </is>
      </c>
      <c r="B574" s="165" t="n">
        <v>1</v>
      </c>
      <c r="C574" s="68" t="n">
        <v>85</v>
      </c>
      <c r="D574" s="68">
        <f>C574*B574</f>
        <v/>
      </c>
      <c r="E574" s="340" t="n"/>
      <c r="F574" s="340" t="n"/>
      <c r="G574" s="340" t="n"/>
      <c r="H574" s="340" t="n"/>
      <c r="I574" s="340" t="n"/>
      <c r="J574" s="340" t="n"/>
      <c r="K574" s="236" t="n"/>
      <c r="L574" s="236" t="n"/>
      <c r="M574" s="236" t="n"/>
      <c r="N574" s="236" t="n"/>
      <c r="O574" s="236" t="n"/>
      <c r="P574" s="236" t="n"/>
    </row>
    <row r="575">
      <c r="A575" s="236" t="inlineStr">
        <is>
          <t>El Fantasma, Aún</t>
        </is>
      </c>
      <c r="B575" s="165" t="n">
        <v>1</v>
      </c>
      <c r="C575" s="68" t="n">
        <v>80</v>
      </c>
      <c r="D575" s="68">
        <f>C575*B575</f>
        <v/>
      </c>
      <c r="E575" s="90" t="n"/>
      <c r="F575" s="68">
        <f>E575+D575</f>
        <v/>
      </c>
      <c r="G575" s="239">
        <f>F575</f>
        <v/>
      </c>
      <c r="H575" s="281" t="n">
        <v>45233</v>
      </c>
      <c r="I575" s="250" t="inlineStr">
        <is>
          <t>PIX</t>
        </is>
      </c>
      <c r="J575" s="282" t="n"/>
      <c r="K575" s="236" t="n"/>
      <c r="L575" s="236" t="n"/>
      <c r="M575" s="236" t="n"/>
      <c r="N575" s="236" t="n"/>
      <c r="O575" s="236" t="n"/>
      <c r="P575" s="236" t="n"/>
    </row>
    <row r="576">
      <c r="A576" s="236" t="inlineStr">
        <is>
          <t>Não identificado</t>
        </is>
      </c>
      <c r="B576" s="165" t="n">
        <v>1</v>
      </c>
      <c r="C576" s="68" t="n">
        <v>188</v>
      </c>
      <c r="D576" s="68">
        <f>C576*B576</f>
        <v/>
      </c>
      <c r="E576" s="90" t="n"/>
      <c r="F576" s="68">
        <f>E576+D576</f>
        <v/>
      </c>
      <c r="G576" s="239">
        <f>F576</f>
        <v/>
      </c>
      <c r="H576" s="281" t="n">
        <v>45233</v>
      </c>
      <c r="I576" s="250" t="inlineStr">
        <is>
          <t>PIX</t>
        </is>
      </c>
      <c r="J576" s="282" t="n"/>
      <c r="K576" s="236" t="n"/>
      <c r="L576" s="236" t="n"/>
      <c r="M576" s="236" t="n"/>
      <c r="N576" s="236" t="n"/>
      <c r="O576" s="236" t="n"/>
      <c r="P576" s="236" t="n"/>
    </row>
    <row r="577">
      <c r="A577" s="236" t="inlineStr">
        <is>
          <t>O que esse menino tem?</t>
        </is>
      </c>
      <c r="B577" s="165" t="n">
        <v>1</v>
      </c>
      <c r="C577" s="68" t="n">
        <v>50</v>
      </c>
      <c r="D577" s="68">
        <f>C577*B577</f>
        <v/>
      </c>
      <c r="E577" s="117" t="n"/>
      <c r="F577" s="68">
        <f>E577+D577+D578</f>
        <v/>
      </c>
      <c r="G577" s="239">
        <f>F577</f>
        <v/>
      </c>
      <c r="H577" s="281" t="n">
        <v>45233</v>
      </c>
      <c r="I577" s="250" t="inlineStr">
        <is>
          <t>PIX</t>
        </is>
      </c>
      <c r="J577" s="285" t="n"/>
      <c r="K577" s="236" t="n"/>
      <c r="L577" s="236" t="n"/>
      <c r="M577" s="236" t="n"/>
      <c r="N577" s="236" t="n"/>
      <c r="O577" s="236" t="n"/>
      <c r="P577" s="236" t="n"/>
    </row>
    <row r="578">
      <c r="A578" s="236" t="inlineStr">
        <is>
          <t>O ser e o gênero</t>
        </is>
      </c>
      <c r="B578" s="165" t="n">
        <v>1</v>
      </c>
      <c r="C578" s="68" t="n">
        <v>55</v>
      </c>
      <c r="D578" s="68">
        <f>C578*B578</f>
        <v/>
      </c>
      <c r="E578" s="340" t="n"/>
      <c r="F578" s="340" t="n"/>
      <c r="G578" s="340" t="n"/>
      <c r="H578" s="340" t="n"/>
      <c r="I578" s="340" t="n"/>
      <c r="J578" s="340" t="n"/>
      <c r="K578" s="236" t="n"/>
      <c r="L578" s="236" t="n"/>
      <c r="M578" s="236" t="n"/>
      <c r="N578" s="236" t="n"/>
      <c r="O578" s="236" t="n"/>
      <c r="P578" s="236" t="n"/>
    </row>
    <row r="579">
      <c r="A579" s="236" t="inlineStr">
        <is>
          <t>Autismos</t>
        </is>
      </c>
      <c r="B579" s="165" t="n">
        <v>1</v>
      </c>
      <c r="C579" s="68" t="n">
        <v>55</v>
      </c>
      <c r="D579" s="68">
        <f>C579*B579</f>
        <v/>
      </c>
      <c r="E579" s="117" t="n"/>
      <c r="F579" s="68">
        <f>E579+D579+D580+D581+D582</f>
        <v/>
      </c>
      <c r="G579" s="239">
        <f>F579</f>
        <v/>
      </c>
      <c r="H579" s="281" t="n">
        <v>45233</v>
      </c>
      <c r="I579" s="250" t="inlineStr">
        <is>
          <t>PIX</t>
        </is>
      </c>
      <c r="J579" s="285" t="n"/>
      <c r="K579" s="236" t="n"/>
      <c r="L579" s="236" t="n"/>
      <c r="M579" s="236" t="n"/>
      <c r="N579" s="236" t="n"/>
      <c r="O579" s="236" t="n"/>
      <c r="P579" s="236" t="n"/>
    </row>
    <row r="580">
      <c r="A580" s="236" t="inlineStr">
        <is>
          <t>El Fantasma, Aún</t>
        </is>
      </c>
      <c r="B580" s="165" t="n">
        <v>1</v>
      </c>
      <c r="C580" s="68" t="n">
        <v>80</v>
      </c>
      <c r="D580" s="68">
        <f>C580*B580</f>
        <v/>
      </c>
      <c r="E580" s="343" t="n"/>
      <c r="F580" s="343" t="n"/>
      <c r="G580" s="343" t="n"/>
      <c r="H580" s="343" t="n"/>
      <c r="I580" s="343" t="n"/>
      <c r="J580" s="343" t="n"/>
      <c r="K580" s="236" t="n"/>
      <c r="L580" s="236" t="n"/>
      <c r="M580" s="236" t="n"/>
      <c r="N580" s="236" t="n"/>
      <c r="O580" s="236" t="n"/>
      <c r="P580" s="236" t="n"/>
    </row>
    <row r="581">
      <c r="A581" s="236" t="inlineStr">
        <is>
          <t>Agente 20</t>
        </is>
      </c>
      <c r="B581" s="165" t="n">
        <v>1</v>
      </c>
      <c r="C581" s="68" t="n">
        <v>70</v>
      </c>
      <c r="D581" s="68">
        <f>C581*B581</f>
        <v/>
      </c>
      <c r="E581" s="343" t="n"/>
      <c r="F581" s="343" t="n"/>
      <c r="G581" s="343" t="n"/>
      <c r="H581" s="343" t="n"/>
      <c r="I581" s="343" t="n"/>
      <c r="J581" s="343" t="n"/>
      <c r="K581" s="236" t="n"/>
      <c r="L581" s="236" t="n"/>
      <c r="M581" s="236" t="n"/>
      <c r="N581" s="236" t="n"/>
      <c r="O581" s="236" t="n"/>
      <c r="P581" s="236" t="n"/>
    </row>
    <row r="582">
      <c r="A582" s="236" t="inlineStr">
        <is>
          <t>O ser e o gênero</t>
        </is>
      </c>
      <c r="B582" s="165" t="n">
        <v>1</v>
      </c>
      <c r="C582" s="68" t="n">
        <v>55</v>
      </c>
      <c r="D582" s="68">
        <f>C582*B582</f>
        <v/>
      </c>
      <c r="E582" s="340" t="n"/>
      <c r="F582" s="340" t="n"/>
      <c r="G582" s="340" t="n"/>
      <c r="H582" s="340" t="n"/>
      <c r="I582" s="340" t="n"/>
      <c r="J582" s="340" t="n"/>
      <c r="K582" s="236" t="n"/>
      <c r="L582" s="236" t="n"/>
      <c r="M582" s="236" t="n"/>
      <c r="N582" s="236" t="n"/>
      <c r="O582" s="236" t="n"/>
      <c r="P582" s="236" t="n"/>
    </row>
    <row r="583">
      <c r="A583" s="236" t="inlineStr">
        <is>
          <t>Não identificado</t>
        </is>
      </c>
      <c r="B583" s="165" t="n">
        <v>1</v>
      </c>
      <c r="C583" s="68" t="n">
        <v>60</v>
      </c>
      <c r="D583" s="68">
        <f>C583*B583</f>
        <v/>
      </c>
      <c r="E583" s="90" t="n"/>
      <c r="F583" s="68">
        <f>E583+D583</f>
        <v/>
      </c>
      <c r="G583" s="239">
        <f>F583</f>
        <v/>
      </c>
      <c r="H583" s="281" t="n">
        <v>45233</v>
      </c>
      <c r="I583" s="250" t="inlineStr">
        <is>
          <t>PIX</t>
        </is>
      </c>
      <c r="J583" s="282" t="n"/>
      <c r="K583" s="236" t="n"/>
      <c r="L583" s="236" t="n"/>
      <c r="M583" s="236" t="n"/>
      <c r="N583" s="236" t="n"/>
      <c r="O583" s="236" t="n"/>
      <c r="P583" s="236" t="n"/>
    </row>
    <row r="584">
      <c r="A584" s="236" t="inlineStr">
        <is>
          <t>El Fantasma, Aún</t>
        </is>
      </c>
      <c r="B584" s="165" t="n">
        <v>1</v>
      </c>
      <c r="C584" s="68" t="n">
        <v>80</v>
      </c>
      <c r="D584" s="68">
        <f>C584*B584</f>
        <v/>
      </c>
      <c r="E584" s="117" t="n"/>
      <c r="F584" s="68">
        <f>E584+D584+D585</f>
        <v/>
      </c>
      <c r="G584" s="239">
        <f>F584</f>
        <v/>
      </c>
      <c r="H584" s="281" t="n">
        <v>45233</v>
      </c>
      <c r="I584" s="250" t="inlineStr">
        <is>
          <t>PIX</t>
        </is>
      </c>
      <c r="J584" s="285" t="n"/>
      <c r="K584" s="236" t="n"/>
      <c r="L584" s="236" t="n"/>
      <c r="M584" s="236" t="n"/>
      <c r="N584" s="236" t="n"/>
      <c r="O584" s="236" t="n"/>
      <c r="P584" s="236" t="n"/>
    </row>
    <row r="585">
      <c r="A585" s="236" t="inlineStr">
        <is>
          <t>Felicidade e Sintoma</t>
        </is>
      </c>
      <c r="B585" s="165" t="n">
        <v>1</v>
      </c>
      <c r="C585" s="68" t="n">
        <v>42</v>
      </c>
      <c r="D585" s="68">
        <f>C585*B585</f>
        <v/>
      </c>
      <c r="E585" s="340" t="n"/>
      <c r="F585" s="340" t="n"/>
      <c r="G585" s="340" t="n"/>
      <c r="H585" s="340" t="n"/>
      <c r="I585" s="340" t="n"/>
      <c r="J585" s="340" t="n"/>
      <c r="K585" s="236" t="n"/>
      <c r="L585" s="236" t="n"/>
      <c r="M585" s="236" t="n"/>
      <c r="N585" s="236" t="n"/>
      <c r="O585" s="236" t="n"/>
      <c r="P585" s="236" t="n"/>
    </row>
    <row r="586">
      <c r="A586" s="236" t="inlineStr">
        <is>
          <t>Agente 20</t>
        </is>
      </c>
      <c r="B586" s="165" t="n">
        <v>1</v>
      </c>
      <c r="C586" s="68" t="n">
        <v>70</v>
      </c>
      <c r="D586" s="68">
        <f>C586*B586</f>
        <v/>
      </c>
      <c r="E586" s="90" t="n"/>
      <c r="F586" s="68">
        <f>E586+D586</f>
        <v/>
      </c>
      <c r="G586" s="239">
        <f>F586</f>
        <v/>
      </c>
      <c r="H586" s="281" t="n">
        <v>45233</v>
      </c>
      <c r="I586" s="250" t="inlineStr">
        <is>
          <t>PIX</t>
        </is>
      </c>
      <c r="J586" s="282" t="n"/>
      <c r="K586" s="236" t="n"/>
      <c r="L586" s="236" t="n"/>
      <c r="M586" s="236" t="n"/>
      <c r="N586" s="236" t="n"/>
      <c r="O586" s="236" t="n"/>
      <c r="P586" s="236" t="n"/>
    </row>
    <row r="587">
      <c r="A587" s="236" t="inlineStr">
        <is>
          <t>Correio 76</t>
        </is>
      </c>
      <c r="B587" s="165" t="n">
        <v>1</v>
      </c>
      <c r="C587" s="68" t="n">
        <v>10</v>
      </c>
      <c r="D587" s="68">
        <f>C587*B587</f>
        <v/>
      </c>
      <c r="E587" s="117" t="n"/>
      <c r="F587" s="68">
        <f>E587+D587+D588</f>
        <v/>
      </c>
      <c r="G587" s="239">
        <f>F587</f>
        <v/>
      </c>
      <c r="H587" s="281" t="n">
        <v>45233</v>
      </c>
      <c r="I587" s="250" t="inlineStr">
        <is>
          <t>PIX</t>
        </is>
      </c>
      <c r="J587" s="285" t="n"/>
      <c r="K587" s="236" t="n"/>
      <c r="L587" s="236" t="n"/>
      <c r="M587" s="236" t="n"/>
      <c r="N587" s="236" t="n"/>
      <c r="O587" s="236" t="n"/>
      <c r="P587" s="236" t="n"/>
    </row>
    <row r="588">
      <c r="A588" s="236" t="inlineStr">
        <is>
          <t>O ser e o gênero</t>
        </is>
      </c>
      <c r="B588" s="165" t="n">
        <v>1</v>
      </c>
      <c r="C588" s="68" t="n">
        <v>55</v>
      </c>
      <c r="D588" s="68">
        <f>C588*B588</f>
        <v/>
      </c>
      <c r="E588" s="340" t="n"/>
      <c r="F588" s="340" t="n"/>
      <c r="G588" s="340" t="n"/>
      <c r="H588" s="340" t="n"/>
      <c r="I588" s="340" t="n"/>
      <c r="J588" s="340" t="n"/>
      <c r="K588" s="236" t="n"/>
      <c r="L588" s="236" t="n"/>
      <c r="M588" s="236" t="n"/>
      <c r="N588" s="236" t="n"/>
      <c r="O588" s="236" t="n"/>
      <c r="P588" s="236" t="n"/>
    </row>
    <row r="589">
      <c r="A589" s="236" t="inlineStr">
        <is>
          <t>IPB Seminários - Nieves Soria</t>
        </is>
      </c>
      <c r="B589" s="165" t="n">
        <v>1</v>
      </c>
      <c r="C589" s="68" t="n">
        <v>20</v>
      </c>
      <c r="D589" s="68">
        <f>C589*B589</f>
        <v/>
      </c>
      <c r="E589" s="90" t="n"/>
      <c r="F589" s="68">
        <f>E589+D589</f>
        <v/>
      </c>
      <c r="G589" s="239">
        <f>F589</f>
        <v/>
      </c>
      <c r="H589" s="281" t="n">
        <v>45233</v>
      </c>
      <c r="I589" s="250" t="inlineStr">
        <is>
          <t>PIX</t>
        </is>
      </c>
      <c r="J589" s="282" t="n"/>
      <c r="K589" s="236" t="n"/>
      <c r="L589" s="236" t="n"/>
      <c r="M589" s="236" t="n"/>
      <c r="N589" s="236" t="n"/>
      <c r="O589" s="236" t="n"/>
      <c r="P589" s="236" t="n"/>
    </row>
    <row r="590">
      <c r="A590" s="236" t="inlineStr">
        <is>
          <t>O ser e o gênero</t>
        </is>
      </c>
      <c r="B590" s="165" t="n">
        <v>1</v>
      </c>
      <c r="C590" s="68" t="n">
        <v>55</v>
      </c>
      <c r="D590" s="68">
        <f>C590*B590</f>
        <v/>
      </c>
      <c r="E590" s="90" t="n"/>
      <c r="F590" s="68">
        <f>E590+D590</f>
        <v/>
      </c>
      <c r="G590" s="239">
        <f>F590</f>
        <v/>
      </c>
      <c r="H590" s="281" t="n">
        <v>45233</v>
      </c>
      <c r="I590" s="250" t="inlineStr">
        <is>
          <t>PIX</t>
        </is>
      </c>
      <c r="J590" s="282" t="n"/>
      <c r="K590" s="236" t="n"/>
      <c r="L590" s="236" t="n"/>
      <c r="M590" s="236" t="n"/>
      <c r="N590" s="236" t="n"/>
      <c r="O590" s="236" t="n"/>
      <c r="P590" s="236" t="n"/>
    </row>
    <row r="591">
      <c r="A591" s="236" t="inlineStr">
        <is>
          <t>IPB Seminários - Nieves Soria</t>
        </is>
      </c>
      <c r="B591" s="165" t="n">
        <v>1</v>
      </c>
      <c r="C591" s="68" t="n">
        <v>20</v>
      </c>
      <c r="D591" s="68">
        <f>C591*B591</f>
        <v/>
      </c>
      <c r="E591" s="90" t="n"/>
      <c r="F591" s="68">
        <f>E591+D591</f>
        <v/>
      </c>
      <c r="G591" s="239">
        <f>F591</f>
        <v/>
      </c>
      <c r="H591" s="281" t="n">
        <v>45233</v>
      </c>
      <c r="I591" s="250" t="inlineStr">
        <is>
          <t>PIX</t>
        </is>
      </c>
      <c r="J591" s="282" t="n"/>
      <c r="K591" s="236" t="n"/>
      <c r="L591" s="236" t="n"/>
      <c r="M591" s="236" t="n"/>
      <c r="N591" s="236" t="n"/>
      <c r="O591" s="236" t="n"/>
      <c r="P591" s="236" t="n"/>
    </row>
    <row r="592">
      <c r="A592" s="236" t="inlineStr">
        <is>
          <t>A MULHER: NASCER DE UM MAL-ENTENDIDO</t>
        </is>
      </c>
      <c r="B592" s="165" t="n">
        <v>1</v>
      </c>
      <c r="C592" s="68" t="n">
        <v>80</v>
      </c>
      <c r="D592" s="68">
        <f>C592*B592</f>
        <v/>
      </c>
      <c r="E592" s="117" t="n"/>
      <c r="F592" s="68">
        <f>E592+D592+D593</f>
        <v/>
      </c>
      <c r="G592" s="239">
        <f>F592</f>
        <v/>
      </c>
      <c r="H592" s="281" t="n">
        <v>45233</v>
      </c>
      <c r="I592" s="250" t="inlineStr">
        <is>
          <t>PIX</t>
        </is>
      </c>
      <c r="J592" s="282" t="n"/>
      <c r="K592" s="236" t="n"/>
      <c r="L592" s="236" t="n"/>
      <c r="M592" s="236" t="n"/>
      <c r="N592" s="236" t="n"/>
      <c r="O592" s="236" t="n"/>
      <c r="P592" s="236" t="n"/>
    </row>
    <row r="593">
      <c r="A593" s="236" t="inlineStr">
        <is>
          <t>A função do pai em psicanálise</t>
        </is>
      </c>
      <c r="B593" s="165" t="n">
        <v>1</v>
      </c>
      <c r="C593" s="68" t="n">
        <v>60</v>
      </c>
      <c r="D593" s="68">
        <f>C593*B593</f>
        <v/>
      </c>
      <c r="E593" s="340" t="n"/>
      <c r="F593" s="340" t="n"/>
      <c r="G593" s="340" t="n"/>
      <c r="H593" s="340" t="n"/>
      <c r="I593" s="340" t="n"/>
      <c r="J593" s="340" t="n"/>
      <c r="K593" s="236" t="n"/>
      <c r="L593" s="236" t="n"/>
      <c r="M593" s="236" t="n"/>
      <c r="N593" s="236" t="n"/>
      <c r="O593" s="236" t="n"/>
      <c r="P593" s="236" t="n"/>
    </row>
    <row r="594">
      <c r="A594" s="236" t="inlineStr">
        <is>
          <t>Histeria e Saúde Mental</t>
        </is>
      </c>
      <c r="B594" s="165" t="n">
        <v>1</v>
      </c>
      <c r="C594" s="68" t="n">
        <v>25</v>
      </c>
      <c r="D594" s="68">
        <f>C594*B594</f>
        <v/>
      </c>
      <c r="E594" s="90" t="n"/>
      <c r="F594" s="68">
        <f>E594+D594</f>
        <v/>
      </c>
      <c r="G594" s="239">
        <f>F594</f>
        <v/>
      </c>
      <c r="H594" s="240" t="n">
        <v>45233</v>
      </c>
      <c r="I594" s="250" t="inlineStr">
        <is>
          <t>PIX</t>
        </is>
      </c>
      <c r="J594" s="282" t="n"/>
      <c r="K594" s="236" t="n"/>
      <c r="L594" s="236" t="n"/>
      <c r="M594" s="236" t="n"/>
      <c r="N594" s="236" t="n"/>
      <c r="O594" s="236" t="n"/>
      <c r="P594" s="236" t="n"/>
    </row>
    <row r="595">
      <c r="A595" s="236" t="inlineStr">
        <is>
          <t>Histeria e Saúde Mental</t>
        </is>
      </c>
      <c r="B595" s="165" t="n">
        <v>1</v>
      </c>
      <c r="C595" s="68" t="n">
        <v>25</v>
      </c>
      <c r="D595" s="68">
        <f>C595*B595</f>
        <v/>
      </c>
      <c r="E595" s="90" t="n"/>
      <c r="F595" s="68">
        <f>E595+D595</f>
        <v/>
      </c>
      <c r="G595" s="239">
        <f>F595</f>
        <v/>
      </c>
      <c r="H595" s="240" t="n">
        <v>45233</v>
      </c>
      <c r="I595" s="250" t="inlineStr">
        <is>
          <t>PIX</t>
        </is>
      </c>
      <c r="J595" s="282" t="n"/>
      <c r="K595" s="236" t="n"/>
      <c r="L595" s="236" t="n"/>
      <c r="M595" s="236" t="n"/>
      <c r="N595" s="236" t="n"/>
      <c r="O595" s="236" t="n"/>
      <c r="P595" s="236" t="n"/>
    </row>
    <row r="596">
      <c r="A596" s="236" t="inlineStr">
        <is>
          <t>Agente 14</t>
        </is>
      </c>
      <c r="B596" s="165" t="n">
        <v>1</v>
      </c>
      <c r="C596" s="68" t="n">
        <v>15</v>
      </c>
      <c r="D596" s="68">
        <f>C596*B596</f>
        <v/>
      </c>
      <c r="E596" s="117" t="n"/>
      <c r="F596" s="68">
        <f>E596+D596+D597+D598+D599+D600+D601</f>
        <v/>
      </c>
      <c r="G596" s="239">
        <f>F596</f>
        <v/>
      </c>
      <c r="H596" s="281" t="n">
        <v>45233</v>
      </c>
      <c r="I596" s="250" t="inlineStr">
        <is>
          <t>PIX</t>
        </is>
      </c>
      <c r="J596" s="285" t="n"/>
      <c r="K596" s="236" t="n"/>
      <c r="L596" s="236" t="n"/>
      <c r="M596" s="236" t="n"/>
      <c r="N596" s="236" t="n"/>
      <c r="O596" s="236" t="n"/>
      <c r="P596" s="236" t="n"/>
    </row>
    <row r="597">
      <c r="A597" s="236" t="inlineStr">
        <is>
          <t>Lacan e a Solução Elegante Na Psicose</t>
        </is>
      </c>
      <c r="B597" s="165" t="n">
        <v>1</v>
      </c>
      <c r="C597" s="68" t="n">
        <v>65</v>
      </c>
      <c r="D597" s="68">
        <f>C597*B597</f>
        <v/>
      </c>
      <c r="E597" s="343" t="n"/>
      <c r="F597" s="343" t="n"/>
      <c r="G597" s="343" t="n"/>
      <c r="H597" s="343" t="n"/>
      <c r="I597" s="343" t="n"/>
      <c r="J597" s="343" t="n"/>
      <c r="K597" s="236" t="n"/>
      <c r="L597" s="236" t="n"/>
      <c r="M597" s="236" t="n"/>
      <c r="N597" s="236" t="n"/>
      <c r="O597" s="236" t="n"/>
      <c r="P597" s="236" t="n"/>
    </row>
    <row r="598">
      <c r="A598" s="236" t="inlineStr">
        <is>
          <t>Entre o gozo e o desejo</t>
        </is>
      </c>
      <c r="B598" s="165" t="n">
        <v>1</v>
      </c>
      <c r="C598" s="68" t="n">
        <v>80</v>
      </c>
      <c r="D598" s="68">
        <f>C598*B598</f>
        <v/>
      </c>
      <c r="E598" s="343" t="n"/>
      <c r="F598" s="343" t="n"/>
      <c r="G598" s="343" t="n"/>
      <c r="H598" s="343" t="n"/>
      <c r="I598" s="343" t="n"/>
      <c r="J598" s="343" t="n"/>
      <c r="K598" s="236" t="n"/>
      <c r="L598" s="236" t="n"/>
      <c r="M598" s="236" t="n"/>
      <c r="N598" s="236" t="n"/>
      <c r="O598" s="236" t="n"/>
      <c r="P598" s="236" t="n"/>
    </row>
    <row r="599">
      <c r="A599" s="236" t="inlineStr">
        <is>
          <t>Introduccion a la clínica con toxicomanias y alcoholismo I</t>
        </is>
      </c>
      <c r="B599" s="165" t="n">
        <v>1</v>
      </c>
      <c r="C599" s="68" t="n">
        <v>60</v>
      </c>
      <c r="D599" s="68">
        <f>C599*B599</f>
        <v/>
      </c>
      <c r="E599" s="343" t="n"/>
      <c r="F599" s="343" t="n"/>
      <c r="G599" s="343" t="n"/>
      <c r="H599" s="343" t="n"/>
      <c r="I599" s="343" t="n"/>
      <c r="J599" s="343" t="n"/>
      <c r="K599" s="236" t="n"/>
      <c r="L599" s="236" t="n"/>
      <c r="M599" s="236" t="n"/>
      <c r="N599" s="236" t="n"/>
      <c r="O599" s="236" t="n"/>
      <c r="P599" s="236" t="n"/>
    </row>
    <row r="600">
      <c r="A600" s="236" t="inlineStr">
        <is>
          <t>Introduccion a la clínica con toxicomanias y alcoholismo III</t>
        </is>
      </c>
      <c r="B600" s="165" t="n">
        <v>1</v>
      </c>
      <c r="C600" s="68" t="n">
        <v>60</v>
      </c>
      <c r="D600" s="68">
        <f>C600*B600</f>
        <v/>
      </c>
      <c r="E600" s="343" t="n"/>
      <c r="F600" s="343" t="n"/>
      <c r="G600" s="343" t="n"/>
      <c r="H600" s="343" t="n"/>
      <c r="I600" s="343" t="n"/>
      <c r="J600" s="343" t="n"/>
      <c r="K600" s="236" t="n"/>
      <c r="L600" s="236" t="n"/>
      <c r="M600" s="236" t="n"/>
      <c r="N600" s="236" t="n"/>
      <c r="O600" s="236" t="n"/>
      <c r="P600" s="236" t="n"/>
    </row>
    <row r="601">
      <c r="A601" s="236" t="inlineStr">
        <is>
          <t>Introduccion a la clínica con toxicomanias y alcoholismo III</t>
        </is>
      </c>
      <c r="B601" s="165" t="n">
        <v>1</v>
      </c>
      <c r="C601" s="68" t="n">
        <v>65</v>
      </c>
      <c r="D601" s="68">
        <f>C601*B601</f>
        <v/>
      </c>
      <c r="E601" s="340" t="n"/>
      <c r="F601" s="340" t="n"/>
      <c r="G601" s="340" t="n"/>
      <c r="H601" s="340" t="n"/>
      <c r="I601" s="340" t="n"/>
      <c r="J601" s="340" t="n"/>
      <c r="K601" s="236" t="n"/>
      <c r="L601" s="236" t="n"/>
      <c r="M601" s="236" t="n"/>
      <c r="N601" s="236" t="n"/>
      <c r="O601" s="236" t="n"/>
      <c r="P601" s="236" t="n"/>
    </row>
    <row r="602">
      <c r="A602" s="236" t="inlineStr">
        <is>
          <t>Introduccion a la clínica con toxicomanias y alcoholismo I</t>
        </is>
      </c>
      <c r="B602" s="165" t="n">
        <v>1</v>
      </c>
      <c r="C602" s="68" t="n">
        <v>60</v>
      </c>
      <c r="D602" s="68">
        <f>C602*B602</f>
        <v/>
      </c>
      <c r="E602" s="117" t="n"/>
      <c r="F602" s="68">
        <f>E602+D602+D603+D604</f>
        <v/>
      </c>
      <c r="G602" s="239">
        <f>F602</f>
        <v/>
      </c>
      <c r="H602" s="281" t="n">
        <v>45233</v>
      </c>
      <c r="I602" s="250" t="inlineStr">
        <is>
          <t>PIX</t>
        </is>
      </c>
      <c r="J602" s="285" t="n"/>
      <c r="K602" s="236" t="n"/>
      <c r="L602" s="236" t="n"/>
      <c r="M602" s="236" t="n"/>
      <c r="N602" s="236" t="n"/>
      <c r="O602" s="236" t="n"/>
      <c r="P602" s="236" t="n"/>
    </row>
    <row r="603">
      <c r="A603" s="236" t="inlineStr">
        <is>
          <t>Introduccion a la clínica con toxicomanias y alcoholismo II</t>
        </is>
      </c>
      <c r="B603" s="165" t="n">
        <v>1</v>
      </c>
      <c r="C603" s="68" t="n">
        <v>60</v>
      </c>
      <c r="D603" s="68">
        <f>C603*B603</f>
        <v/>
      </c>
      <c r="E603" s="343" t="n"/>
      <c r="F603" s="343" t="n"/>
      <c r="G603" s="343" t="n"/>
      <c r="H603" s="343" t="n"/>
      <c r="I603" s="343" t="n"/>
      <c r="J603" s="343" t="n"/>
      <c r="K603" s="236" t="n"/>
      <c r="L603" s="236" t="n"/>
      <c r="M603" s="236" t="n"/>
      <c r="N603" s="236" t="n"/>
      <c r="O603" s="236" t="n"/>
      <c r="P603" s="236" t="n"/>
    </row>
    <row r="604">
      <c r="A604" s="236" t="inlineStr">
        <is>
          <t>Introduccion a la clínica con toxicomanias y alcoholismo III</t>
        </is>
      </c>
      <c r="B604" s="165" t="n">
        <v>1</v>
      </c>
      <c r="C604" s="68" t="n">
        <v>65</v>
      </c>
      <c r="D604" s="68">
        <f>C604*B604</f>
        <v/>
      </c>
      <c r="E604" s="340" t="n"/>
      <c r="F604" s="340" t="n"/>
      <c r="G604" s="340" t="n"/>
      <c r="H604" s="340" t="n"/>
      <c r="I604" s="340" t="n"/>
      <c r="J604" s="340" t="n"/>
      <c r="K604" s="236" t="n"/>
      <c r="L604" s="236" t="n"/>
      <c r="M604" s="236" t="n"/>
      <c r="N604" s="236" t="n"/>
      <c r="O604" s="236" t="n"/>
      <c r="P604" s="236" t="n"/>
    </row>
    <row r="605">
      <c r="A605" s="236" t="inlineStr">
        <is>
          <t>Introduccion a la clínica con toxicomanias y alcoholismo II</t>
        </is>
      </c>
      <c r="B605" s="165" t="n">
        <v>1</v>
      </c>
      <c r="C605" s="68" t="n">
        <v>62</v>
      </c>
      <c r="D605" s="68">
        <f>C605*B605</f>
        <v/>
      </c>
      <c r="E605" s="117" t="n"/>
      <c r="F605" s="68">
        <f>E606+D606+D605</f>
        <v/>
      </c>
      <c r="G605" s="239">
        <f>F605</f>
        <v/>
      </c>
      <c r="H605" s="281" t="n">
        <v>45233</v>
      </c>
      <c r="I605" s="250" t="inlineStr">
        <is>
          <t>PIX</t>
        </is>
      </c>
      <c r="J605" s="285" t="n"/>
      <c r="K605" s="236" t="n"/>
      <c r="L605" s="236" t="n"/>
      <c r="M605" s="236" t="n"/>
      <c r="N605" s="236" t="n"/>
      <c r="O605" s="236" t="n"/>
      <c r="P605" s="236" t="n"/>
    </row>
    <row r="606">
      <c r="A606" s="236" t="inlineStr">
        <is>
          <t>Agente 16</t>
        </is>
      </c>
      <c r="B606" s="165" t="n">
        <v>1</v>
      </c>
      <c r="C606" s="68" t="n">
        <v>15</v>
      </c>
      <c r="D606" s="68">
        <f>C606*B606</f>
        <v/>
      </c>
      <c r="E606" s="340" t="n"/>
      <c r="F606" s="340" t="n"/>
      <c r="G606" s="340" t="n"/>
      <c r="H606" s="340" t="n"/>
      <c r="I606" s="340" t="n"/>
      <c r="J606" s="340" t="n"/>
      <c r="K606" s="236" t="n"/>
      <c r="L606" s="236" t="n"/>
      <c r="M606" s="236" t="n"/>
      <c r="N606" s="236" t="n"/>
      <c r="O606" s="236" t="n"/>
      <c r="P606" s="236" t="n"/>
    </row>
    <row r="607">
      <c r="A607" s="236" t="inlineStr">
        <is>
          <t>Agente 14</t>
        </is>
      </c>
      <c r="B607" s="165" t="n">
        <v>1</v>
      </c>
      <c r="C607" s="68" t="n">
        <v>15</v>
      </c>
      <c r="D607" s="68">
        <f>C607*B607</f>
        <v/>
      </c>
      <c r="E607" s="117" t="n"/>
      <c r="F607" s="68">
        <f>E607+D607+D608</f>
        <v/>
      </c>
      <c r="G607" s="239">
        <f>F607</f>
        <v/>
      </c>
      <c r="H607" s="281" t="n">
        <v>45233</v>
      </c>
      <c r="I607" s="250" t="inlineStr">
        <is>
          <t>PIX</t>
        </is>
      </c>
      <c r="J607" s="285" t="n"/>
      <c r="K607" s="236" t="n"/>
      <c r="L607" s="236" t="n"/>
      <c r="M607" s="236" t="n"/>
      <c r="N607" s="236" t="n"/>
      <c r="O607" s="236" t="n"/>
      <c r="P607" s="236" t="n"/>
    </row>
    <row r="608">
      <c r="A608" s="236" t="inlineStr">
        <is>
          <t>La Ciudad Analítica Nº1</t>
        </is>
      </c>
      <c r="B608" s="165" t="n">
        <v>1</v>
      </c>
      <c r="C608" s="68" t="n">
        <v>80</v>
      </c>
      <c r="D608" s="68">
        <f>C608*B608</f>
        <v/>
      </c>
      <c r="E608" s="340" t="n"/>
      <c r="F608" s="340" t="n"/>
      <c r="G608" s="340" t="n"/>
      <c r="H608" s="340" t="n"/>
      <c r="I608" s="340" t="n"/>
      <c r="J608" s="340" t="n"/>
      <c r="K608" s="236" t="n"/>
      <c r="L608" s="236" t="n"/>
      <c r="M608" s="236" t="n"/>
      <c r="N608" s="236" t="n"/>
      <c r="O608" s="236" t="n"/>
      <c r="P608" s="236" t="n"/>
    </row>
    <row r="609">
      <c r="A609" s="236" t="inlineStr">
        <is>
          <t>Agente 14</t>
        </is>
      </c>
      <c r="B609" s="165" t="n">
        <v>1</v>
      </c>
      <c r="C609" s="68" t="n">
        <v>15</v>
      </c>
      <c r="D609" s="68">
        <f>C609*B609</f>
        <v/>
      </c>
      <c r="E609" s="117" t="n"/>
      <c r="F609" s="68">
        <f>E609+D609+D610+D611+D612+D613</f>
        <v/>
      </c>
      <c r="G609" s="239">
        <f>F609</f>
        <v/>
      </c>
      <c r="H609" s="281" t="n">
        <v>45233</v>
      </c>
      <c r="I609" s="250" t="inlineStr">
        <is>
          <t>PIX</t>
        </is>
      </c>
      <c r="J609" s="285" t="n"/>
      <c r="K609" s="236" t="n"/>
      <c r="L609" s="236" t="n"/>
      <c r="M609" s="236" t="n"/>
      <c r="N609" s="236" t="n"/>
      <c r="O609" s="236" t="n"/>
      <c r="P609" s="236" t="n"/>
    </row>
    <row r="610">
      <c r="A610" s="236" t="inlineStr">
        <is>
          <t>Agente 16</t>
        </is>
      </c>
      <c r="B610" s="165" t="n">
        <v>1</v>
      </c>
      <c r="C610" s="68" t="n">
        <v>12</v>
      </c>
      <c r="D610" s="68">
        <f>C610*B610</f>
        <v/>
      </c>
      <c r="E610" s="343" t="n"/>
      <c r="F610" s="343" t="n"/>
      <c r="G610" s="343" t="n"/>
      <c r="H610" s="343" t="n"/>
      <c r="I610" s="343" t="n"/>
      <c r="J610" s="343" t="n"/>
      <c r="K610" s="236" t="n"/>
      <c r="L610" s="236" t="n"/>
      <c r="M610" s="236" t="n"/>
      <c r="N610" s="236" t="n"/>
      <c r="O610" s="236" t="n"/>
      <c r="P610" s="236" t="n"/>
    </row>
    <row r="611">
      <c r="A611" s="236" t="inlineStr">
        <is>
          <t>A função do pai em psicanálise</t>
        </is>
      </c>
      <c r="B611" s="165" t="n">
        <v>1</v>
      </c>
      <c r="C611" s="68" t="n">
        <v>60</v>
      </c>
      <c r="D611" s="68">
        <f>C611*B611</f>
        <v/>
      </c>
      <c r="E611" s="343" t="n"/>
      <c r="F611" s="343" t="n"/>
      <c r="G611" s="343" t="n"/>
      <c r="H611" s="343" t="n"/>
      <c r="I611" s="343" t="n"/>
      <c r="J611" s="343" t="n"/>
      <c r="K611" s="236" t="n"/>
      <c r="L611" s="236" t="n"/>
      <c r="M611" s="236" t="n"/>
      <c r="N611" s="236" t="n"/>
      <c r="O611" s="236" t="n"/>
      <c r="P611" s="236" t="n"/>
    </row>
    <row r="612">
      <c r="A612" s="236" t="inlineStr">
        <is>
          <t>Correio 57</t>
        </is>
      </c>
      <c r="B612" s="165" t="n">
        <v>1</v>
      </c>
      <c r="C612" s="68" t="n">
        <v>10</v>
      </c>
      <c r="D612" s="68">
        <f>C612*B612</f>
        <v/>
      </c>
      <c r="E612" s="343" t="n"/>
      <c r="F612" s="343" t="n"/>
      <c r="G612" s="343" t="n"/>
      <c r="H612" s="343" t="n"/>
      <c r="I612" s="343" t="n"/>
      <c r="J612" s="343" t="n"/>
      <c r="K612" s="236" t="n"/>
      <c r="L612" s="236" t="n"/>
      <c r="M612" s="236" t="n"/>
      <c r="N612" s="236" t="n"/>
      <c r="O612" s="236" t="n"/>
      <c r="P612" s="236" t="n"/>
    </row>
    <row r="613">
      <c r="A613" s="236" t="inlineStr">
        <is>
          <t>Felicidade e Sintoma</t>
        </is>
      </c>
      <c r="B613" s="165" t="n">
        <v>1</v>
      </c>
      <c r="C613" s="68" t="n">
        <v>30</v>
      </c>
      <c r="D613" s="68">
        <f>C613*B613</f>
        <v/>
      </c>
      <c r="E613" s="340" t="n"/>
      <c r="F613" s="340" t="n"/>
      <c r="G613" s="340" t="n"/>
      <c r="H613" s="340" t="n"/>
      <c r="I613" s="340" t="n"/>
      <c r="J613" s="340" t="n"/>
      <c r="K613" s="236" t="n"/>
      <c r="L613" s="236" t="n"/>
      <c r="M613" s="236" t="n"/>
      <c r="N613" s="236" t="n"/>
      <c r="O613" s="236" t="n"/>
      <c r="P613" s="236" t="n"/>
    </row>
    <row r="614">
      <c r="A614" s="236" t="inlineStr">
        <is>
          <t>Correio 57</t>
        </is>
      </c>
      <c r="B614" s="165" t="n">
        <v>1</v>
      </c>
      <c r="C614" s="68" t="n">
        <v>10</v>
      </c>
      <c r="D614" s="68">
        <f>C614*B614</f>
        <v/>
      </c>
      <c r="E614" s="117" t="n"/>
      <c r="F614" s="68">
        <f>E614+D614+D615</f>
        <v/>
      </c>
      <c r="G614" s="239">
        <f>F614</f>
        <v/>
      </c>
      <c r="H614" s="281" t="n">
        <v>45233</v>
      </c>
      <c r="I614" s="250" t="inlineStr">
        <is>
          <t>PIX</t>
        </is>
      </c>
      <c r="J614" s="285" t="n"/>
      <c r="K614" s="236" t="n"/>
      <c r="L614" s="236" t="n"/>
      <c r="M614" s="236" t="n"/>
      <c r="N614" s="236" t="n"/>
      <c r="O614" s="236" t="n"/>
      <c r="P614" s="236" t="n"/>
    </row>
    <row r="615">
      <c r="A615" s="236" t="inlineStr">
        <is>
          <t>Agente 16</t>
        </is>
      </c>
      <c r="B615" s="165" t="n">
        <v>1</v>
      </c>
      <c r="C615" s="68" t="n">
        <v>12</v>
      </c>
      <c r="D615" s="68">
        <f>C615*B615</f>
        <v/>
      </c>
      <c r="E615" s="340" t="n"/>
      <c r="F615" s="340" t="n"/>
      <c r="G615" s="340" t="n"/>
      <c r="H615" s="340" t="n"/>
      <c r="I615" s="340" t="n"/>
      <c r="J615" s="340" t="n"/>
      <c r="K615" s="236" t="n"/>
      <c r="L615" s="236" t="n"/>
      <c r="M615" s="236" t="n"/>
      <c r="N615" s="236" t="n"/>
      <c r="O615" s="236" t="n"/>
      <c r="P615" s="236" t="n"/>
    </row>
    <row r="616">
      <c r="A616" s="236" t="inlineStr">
        <is>
          <t>Agente 14</t>
        </is>
      </c>
      <c r="B616" s="165" t="n">
        <v>1</v>
      </c>
      <c r="C616" s="68" t="n">
        <v>15</v>
      </c>
      <c r="D616" s="68">
        <f>C616*B616</f>
        <v/>
      </c>
      <c r="E616" s="117" t="n"/>
      <c r="F616" s="68">
        <f>E616+D616+D617</f>
        <v/>
      </c>
      <c r="G616" s="239">
        <f>F616</f>
        <v/>
      </c>
      <c r="H616" s="281" t="n">
        <v>45233</v>
      </c>
      <c r="I616" s="250" t="inlineStr">
        <is>
          <t>PIX</t>
        </is>
      </c>
      <c r="J616" s="285" t="n"/>
      <c r="K616" s="236" t="n"/>
      <c r="L616" s="236" t="n"/>
      <c r="M616" s="236" t="n"/>
      <c r="N616" s="236" t="n"/>
      <c r="O616" s="236" t="n"/>
      <c r="P616" s="236" t="n"/>
    </row>
    <row r="617">
      <c r="A617" s="236" t="inlineStr">
        <is>
          <t>Correio Especial</t>
        </is>
      </c>
      <c r="B617" s="165" t="n">
        <v>1</v>
      </c>
      <c r="C617" s="68" t="n">
        <v>10</v>
      </c>
      <c r="D617" s="68">
        <f>C617*B617</f>
        <v/>
      </c>
      <c r="E617" s="340" t="n"/>
      <c r="F617" s="340" t="n"/>
      <c r="G617" s="340" t="n"/>
      <c r="H617" s="340" t="n"/>
      <c r="I617" s="340" t="n"/>
      <c r="J617" s="340" t="n"/>
      <c r="K617" s="236" t="n"/>
      <c r="L617" s="236" t="n"/>
      <c r="M617" s="236" t="n"/>
      <c r="N617" s="236" t="n"/>
      <c r="O617" s="236" t="n"/>
      <c r="P617" s="236" t="n"/>
    </row>
    <row r="618">
      <c r="A618" s="236" t="inlineStr">
        <is>
          <t>A Recusa na Anorexia</t>
        </is>
      </c>
      <c r="B618" s="165" t="n">
        <v>1</v>
      </c>
      <c r="C618" s="68" t="n">
        <v>100</v>
      </c>
      <c r="D618" s="68">
        <f>C618*B618</f>
        <v/>
      </c>
      <c r="E618" s="90" t="n"/>
      <c r="F618" s="68">
        <f>E618+D618</f>
        <v/>
      </c>
      <c r="G618" s="239">
        <f>F618</f>
        <v/>
      </c>
      <c r="H618" s="281" t="n">
        <v>45233</v>
      </c>
      <c r="I618" s="250" t="inlineStr">
        <is>
          <t>PIX</t>
        </is>
      </c>
      <c r="J618" s="300" t="n"/>
      <c r="K618" s="236" t="n"/>
      <c r="L618" s="236" t="n"/>
      <c r="M618" s="236" t="n"/>
      <c r="N618" s="236" t="n"/>
      <c r="O618" s="236" t="n"/>
      <c r="P618" s="236" t="n"/>
    </row>
    <row r="619">
      <c r="A619" s="236" t="inlineStr">
        <is>
          <t>A neurose obsessiva no feminino</t>
        </is>
      </c>
      <c r="B619" s="165" t="n">
        <v>1</v>
      </c>
      <c r="C619" s="68" t="n">
        <v>48</v>
      </c>
      <c r="D619" s="68">
        <f>C619*B619</f>
        <v/>
      </c>
      <c r="E619" s="117" t="n"/>
      <c r="F619" s="68">
        <f>E619+D619+D620</f>
        <v/>
      </c>
      <c r="G619" s="239">
        <f>F619</f>
        <v/>
      </c>
      <c r="H619" s="281" t="n">
        <v>45233</v>
      </c>
      <c r="I619" s="250" t="inlineStr">
        <is>
          <t>PIX</t>
        </is>
      </c>
      <c r="J619" s="285" t="n"/>
      <c r="K619" s="236" t="n"/>
      <c r="L619" s="236" t="n"/>
      <c r="M619" s="236" t="n"/>
      <c r="N619" s="236" t="n"/>
      <c r="O619" s="236" t="n"/>
      <c r="P619" s="236" t="n"/>
    </row>
    <row r="620">
      <c r="A620" s="236" t="inlineStr">
        <is>
          <t>Introduccion a la clínica con toxicomanias y alcoholismo II</t>
        </is>
      </c>
      <c r="B620" s="165" t="n">
        <v>1</v>
      </c>
      <c r="C620" s="68" t="n">
        <v>60</v>
      </c>
      <c r="D620" s="68">
        <f>C620*B620</f>
        <v/>
      </c>
      <c r="E620" s="340" t="n"/>
      <c r="F620" s="340" t="n"/>
      <c r="G620" s="340" t="n"/>
      <c r="H620" s="340" t="n"/>
      <c r="I620" s="340" t="n"/>
      <c r="J620" s="340" t="n"/>
      <c r="K620" s="236" t="n"/>
      <c r="L620" s="236" t="n"/>
      <c r="M620" s="236" t="n"/>
      <c r="N620" s="236" t="n"/>
      <c r="O620" s="236" t="n"/>
      <c r="P620" s="236" t="n"/>
    </row>
    <row r="621">
      <c r="A621" s="236" t="inlineStr">
        <is>
          <t>Agente 14</t>
        </is>
      </c>
      <c r="B621" s="165" t="n">
        <v>1</v>
      </c>
      <c r="C621" s="68" t="n">
        <v>15</v>
      </c>
      <c r="D621" s="68">
        <f>C621*B621</f>
        <v/>
      </c>
      <c r="E621" s="90" t="n"/>
      <c r="F621" s="68">
        <f>E621+D621</f>
        <v/>
      </c>
      <c r="G621" s="239">
        <f>F621</f>
        <v/>
      </c>
      <c r="H621" s="240" t="n">
        <v>45233</v>
      </c>
      <c r="I621" s="241" t="inlineStr">
        <is>
          <t>PIX</t>
        </is>
      </c>
      <c r="J621" s="301" t="n"/>
      <c r="K621" s="236" t="n"/>
      <c r="L621" s="236" t="n"/>
      <c r="M621" s="236" t="n"/>
      <c r="N621" s="236" t="n"/>
      <c r="O621" s="236" t="n"/>
      <c r="P621" s="236" t="n"/>
    </row>
    <row r="622">
      <c r="A622" s="236" t="inlineStr">
        <is>
          <t>Agente 14</t>
        </is>
      </c>
      <c r="B622" s="165" t="n">
        <v>1</v>
      </c>
      <c r="C622" s="68" t="n">
        <v>15</v>
      </c>
      <c r="D622" s="68">
        <f>C622*B622</f>
        <v/>
      </c>
      <c r="E622" s="90" t="n"/>
      <c r="F622" s="68">
        <f>E622+D622</f>
        <v/>
      </c>
      <c r="G622" s="239">
        <f>F622</f>
        <v/>
      </c>
      <c r="H622" s="240" t="n">
        <v>45233</v>
      </c>
      <c r="I622" s="241" t="inlineStr">
        <is>
          <t>PIX</t>
        </is>
      </c>
      <c r="J622" s="302" t="n"/>
      <c r="K622" s="236" t="n"/>
      <c r="L622" s="236" t="n"/>
      <c r="M622" s="236" t="n"/>
      <c r="N622" s="236" t="n"/>
      <c r="O622" s="236" t="n"/>
      <c r="P622" s="236" t="n"/>
    </row>
    <row r="623">
      <c r="A623" s="236" t="inlineStr">
        <is>
          <t>El Nacimiento del Campo Freudiano</t>
        </is>
      </c>
      <c r="B623" s="165" t="n">
        <v>1</v>
      </c>
      <c r="C623" s="68" t="n">
        <v>180</v>
      </c>
      <c r="D623" s="68">
        <f>C623*B623</f>
        <v/>
      </c>
      <c r="E623" s="117" t="n"/>
      <c r="F623" s="68">
        <f>E624+D624+D623</f>
        <v/>
      </c>
      <c r="G623" s="239">
        <f>F623</f>
        <v/>
      </c>
      <c r="H623" s="281" t="n">
        <v>45234</v>
      </c>
      <c r="I623" s="250" t="inlineStr">
        <is>
          <t>PIX</t>
        </is>
      </c>
      <c r="J623" s="285" t="n"/>
      <c r="K623" s="236" t="n"/>
      <c r="L623" s="236" t="n"/>
      <c r="M623" s="236" t="n"/>
      <c r="N623" s="236" t="n"/>
      <c r="O623" s="236" t="n"/>
      <c r="P623" s="236" t="n"/>
    </row>
    <row r="624">
      <c r="A624" s="236" t="inlineStr">
        <is>
          <t>Neurose Obsessiva No Feminino</t>
        </is>
      </c>
      <c r="B624" s="165" t="n">
        <v>1</v>
      </c>
      <c r="C624" s="68" t="n">
        <v>48</v>
      </c>
      <c r="D624" s="68">
        <f>C624*B624</f>
        <v/>
      </c>
      <c r="E624" s="340" t="n"/>
      <c r="F624" s="340" t="n"/>
      <c r="G624" s="340" t="n"/>
      <c r="H624" s="340" t="n"/>
      <c r="I624" s="340" t="n"/>
      <c r="J624" s="340" t="n"/>
      <c r="K624" s="236" t="n"/>
      <c r="L624" s="236" t="n"/>
      <c r="M624" s="236" t="n"/>
      <c r="N624" s="236" t="n"/>
      <c r="O624" s="236" t="n"/>
      <c r="P624" s="236" t="n"/>
    </row>
    <row r="625">
      <c r="A625" s="236" t="inlineStr">
        <is>
          <t>Entre o gozo e o desejo</t>
        </is>
      </c>
      <c r="B625" s="165" t="n">
        <v>1</v>
      </c>
      <c r="C625" s="68" t="n">
        <v>80</v>
      </c>
      <c r="D625" s="68">
        <f>C625*B625</f>
        <v/>
      </c>
      <c r="E625" s="90" t="n"/>
      <c r="F625" s="68">
        <f>E625+D625</f>
        <v/>
      </c>
      <c r="G625" s="239">
        <f>F625</f>
        <v/>
      </c>
      <c r="H625" s="240" t="n">
        <v>45234</v>
      </c>
      <c r="I625" s="241" t="inlineStr">
        <is>
          <t>PIX</t>
        </is>
      </c>
      <c r="J625" s="302" t="n"/>
      <c r="K625" s="236" t="n"/>
      <c r="L625" s="236" t="n"/>
      <c r="M625" s="236" t="n"/>
      <c r="N625" s="236" t="n"/>
      <c r="O625" s="236" t="n"/>
      <c r="P625" s="236" t="n"/>
    </row>
    <row r="626">
      <c r="A626" s="236" t="inlineStr">
        <is>
          <t>Pasiones Lacanianas</t>
        </is>
      </c>
      <c r="B626" s="165" t="n">
        <v>1</v>
      </c>
      <c r="C626" s="68" t="n">
        <v>85</v>
      </c>
      <c r="D626" s="68">
        <f>C626*B626</f>
        <v/>
      </c>
      <c r="E626" s="90" t="n"/>
      <c r="F626" s="68">
        <f>E626+D626</f>
        <v/>
      </c>
      <c r="G626" s="239">
        <f>F626</f>
        <v/>
      </c>
      <c r="H626" s="240" t="n">
        <v>45234</v>
      </c>
      <c r="I626" s="241" t="inlineStr">
        <is>
          <t>PIX</t>
        </is>
      </c>
      <c r="J626" s="302" t="n"/>
      <c r="K626" s="236" t="n"/>
      <c r="L626" s="236" t="n"/>
      <c r="M626" s="236" t="n"/>
      <c r="N626" s="236" t="n"/>
      <c r="O626" s="236" t="n"/>
      <c r="P626" s="236" t="n"/>
    </row>
    <row r="627">
      <c r="A627" s="236" t="inlineStr">
        <is>
          <t>O campo uniano</t>
        </is>
      </c>
      <c r="B627" s="165" t="n">
        <v>1</v>
      </c>
      <c r="C627" s="68" t="n">
        <v>120</v>
      </c>
      <c r="D627" s="68">
        <f>C627*B627</f>
        <v/>
      </c>
      <c r="E627" s="90" t="n"/>
      <c r="F627" s="68">
        <f>E627+D627</f>
        <v/>
      </c>
      <c r="G627" s="239">
        <f>F627</f>
        <v/>
      </c>
      <c r="H627" s="240" t="n">
        <v>45234</v>
      </c>
      <c r="I627" s="241" t="inlineStr">
        <is>
          <t>PIX</t>
        </is>
      </c>
      <c r="J627" s="302" t="n"/>
      <c r="K627" s="236" t="n"/>
      <c r="L627" s="236" t="n"/>
      <c r="M627" s="236" t="n"/>
      <c r="N627" s="236" t="n"/>
      <c r="O627" s="236" t="n"/>
      <c r="P627" s="236" t="n"/>
    </row>
    <row r="628">
      <c r="A628" s="236" t="inlineStr">
        <is>
          <t>Saúde Mental, Psicologia e Psicanálise</t>
        </is>
      </c>
      <c r="B628" s="165" t="n">
        <v>1</v>
      </c>
      <c r="C628" s="68" t="n">
        <v>45</v>
      </c>
      <c r="D628" s="68">
        <f>C628*B628</f>
        <v/>
      </c>
      <c r="E628" s="90" t="n"/>
      <c r="F628" s="68">
        <f>E628+D628</f>
        <v/>
      </c>
      <c r="G628" s="239">
        <f>F628</f>
        <v/>
      </c>
      <c r="H628" s="240" t="n">
        <v>45234</v>
      </c>
      <c r="I628" s="241" t="inlineStr">
        <is>
          <t>PIX</t>
        </is>
      </c>
      <c r="J628" s="302" t="n"/>
      <c r="K628" s="236" t="n"/>
      <c r="L628" s="236" t="n"/>
      <c r="M628" s="236" t="n"/>
      <c r="N628" s="236" t="n"/>
      <c r="O628" s="236" t="n"/>
      <c r="P628" s="236" t="n"/>
    </row>
    <row r="629">
      <c r="A629" s="236" t="inlineStr">
        <is>
          <t>A MULHER: NASCER DE UM MAL-ENTENDIDO</t>
        </is>
      </c>
      <c r="B629" s="165" t="n">
        <v>1</v>
      </c>
      <c r="C629" s="68" t="n">
        <v>80</v>
      </c>
      <c r="D629" s="68">
        <f>C629*B629</f>
        <v/>
      </c>
      <c r="E629" s="117" t="n"/>
      <c r="F629" s="68">
        <f>E629+D629+D630</f>
        <v/>
      </c>
      <c r="G629" s="239">
        <f>F629</f>
        <v/>
      </c>
      <c r="H629" s="281" t="n">
        <v>45234</v>
      </c>
      <c r="I629" s="250" t="inlineStr">
        <is>
          <t>PIX</t>
        </is>
      </c>
      <c r="J629" s="285" t="n"/>
      <c r="K629" s="236" t="n"/>
      <c r="L629" s="236" t="n"/>
      <c r="M629" s="236" t="n"/>
      <c r="N629" s="236" t="n"/>
      <c r="O629" s="236" t="n"/>
      <c r="P629" s="236" t="n"/>
    </row>
    <row r="630">
      <c r="A630" s="236" t="inlineStr">
        <is>
          <t>Agente 16</t>
        </is>
      </c>
      <c r="B630" s="165" t="n">
        <v>1</v>
      </c>
      <c r="C630" s="68" t="n">
        <v>12</v>
      </c>
      <c r="D630" s="68">
        <f>C630*B630</f>
        <v/>
      </c>
      <c r="E630" s="340" t="n"/>
      <c r="F630" s="340" t="n"/>
      <c r="G630" s="340" t="n"/>
      <c r="H630" s="340" t="n"/>
      <c r="I630" s="340" t="n"/>
      <c r="J630" s="340" t="n"/>
      <c r="K630" s="236" t="n"/>
      <c r="L630" s="236" t="n"/>
      <c r="M630" s="236" t="n"/>
      <c r="N630" s="236" t="n"/>
      <c r="O630" s="236" t="n"/>
      <c r="P630" s="236" t="n"/>
    </row>
    <row r="631">
      <c r="A631" s="236" t="inlineStr">
        <is>
          <t>IPB Seminários - Nieves Soria</t>
        </is>
      </c>
      <c r="B631" s="165" t="n">
        <v>1</v>
      </c>
      <c r="C631" s="68" t="n">
        <v>20</v>
      </c>
      <c r="D631" s="68">
        <f>C631*B631</f>
        <v/>
      </c>
      <c r="E631" s="90" t="n"/>
      <c r="F631" s="68">
        <f>E631+D631</f>
        <v/>
      </c>
      <c r="G631" s="239">
        <f>F631</f>
        <v/>
      </c>
      <c r="H631" s="240" t="n">
        <v>45234</v>
      </c>
      <c r="I631" s="241" t="inlineStr">
        <is>
          <t>PIX</t>
        </is>
      </c>
      <c r="J631" s="302" t="n"/>
      <c r="K631" s="236" t="n"/>
      <c r="L631" s="236" t="n"/>
      <c r="M631" s="236" t="n"/>
      <c r="N631" s="236" t="n"/>
      <c r="O631" s="236" t="n"/>
      <c r="P631" s="236" t="n"/>
    </row>
    <row r="632">
      <c r="A632" s="236" t="inlineStr">
        <is>
          <t>IPB Seminários - Nieves Soria</t>
        </is>
      </c>
      <c r="B632" s="165" t="n">
        <v>1</v>
      </c>
      <c r="C632" s="68" t="n">
        <v>20</v>
      </c>
      <c r="D632" s="68">
        <f>C632*B632</f>
        <v/>
      </c>
      <c r="E632" s="117" t="n"/>
      <c r="F632" s="68">
        <f>E632+D632+D633</f>
        <v/>
      </c>
      <c r="G632" s="239">
        <f>F632</f>
        <v/>
      </c>
      <c r="H632" s="281" t="n">
        <v>45234</v>
      </c>
      <c r="I632" s="250" t="inlineStr">
        <is>
          <t>PIX</t>
        </is>
      </c>
      <c r="J632" s="285" t="n"/>
      <c r="K632" s="236" t="n"/>
      <c r="L632" s="236" t="n"/>
      <c r="M632" s="236" t="n"/>
      <c r="N632" s="236" t="n"/>
      <c r="O632" s="236" t="n"/>
      <c r="P632" s="236" t="n"/>
    </row>
    <row r="633">
      <c r="A633" s="236" t="inlineStr">
        <is>
          <t>Correio 53</t>
        </is>
      </c>
      <c r="B633" s="165" t="n">
        <v>1</v>
      </c>
      <c r="C633" s="68" t="n">
        <v>10</v>
      </c>
      <c r="D633" s="68">
        <f>C633*B633</f>
        <v/>
      </c>
      <c r="E633" s="340" t="n"/>
      <c r="F633" s="340" t="n"/>
      <c r="G633" s="340" t="n"/>
      <c r="H633" s="340" t="n"/>
      <c r="I633" s="340" t="n"/>
      <c r="J633" s="340" t="n"/>
      <c r="K633" s="236" t="n"/>
      <c r="L633" s="236" t="n"/>
      <c r="M633" s="236" t="n"/>
      <c r="N633" s="236" t="n"/>
      <c r="O633" s="236" t="n"/>
      <c r="P633" s="236" t="n"/>
    </row>
    <row r="634">
      <c r="A634" s="236" t="inlineStr">
        <is>
          <t>Agente 14</t>
        </is>
      </c>
      <c r="B634" s="165" t="n">
        <v>1</v>
      </c>
      <c r="C634" s="68" t="n">
        <v>15</v>
      </c>
      <c r="D634" s="68">
        <f>C634*B634</f>
        <v/>
      </c>
      <c r="E634" s="90" t="n"/>
      <c r="F634" s="68">
        <f>E634+D634</f>
        <v/>
      </c>
      <c r="G634" s="239">
        <f>F634</f>
        <v/>
      </c>
      <c r="H634" s="240" t="n">
        <v>45234</v>
      </c>
      <c r="I634" s="241" t="inlineStr">
        <is>
          <t>PIX</t>
        </is>
      </c>
      <c r="J634" s="302" t="n"/>
      <c r="K634" s="236" t="n"/>
      <c r="L634" s="236" t="n"/>
      <c r="M634" s="236" t="n"/>
      <c r="N634" s="236" t="n"/>
      <c r="O634" s="236" t="n"/>
      <c r="P634" s="236" t="n"/>
    </row>
    <row r="635">
      <c r="A635" s="236" t="inlineStr">
        <is>
          <t>Agente 16</t>
        </is>
      </c>
      <c r="B635" s="165" t="n">
        <v>1</v>
      </c>
      <c r="C635" s="68" t="n">
        <v>15</v>
      </c>
      <c r="D635" s="68">
        <f>C635*B635</f>
        <v/>
      </c>
      <c r="E635" s="117" t="n"/>
      <c r="F635" s="68">
        <f>E635+D635+D636</f>
        <v/>
      </c>
      <c r="G635" s="239">
        <f>F635</f>
        <v/>
      </c>
      <c r="H635" s="281" t="n">
        <v>45234</v>
      </c>
      <c r="I635" s="250" t="inlineStr">
        <is>
          <t>PIX</t>
        </is>
      </c>
      <c r="J635" s="285" t="n"/>
      <c r="K635" s="236" t="n"/>
      <c r="L635" s="236" t="n"/>
      <c r="M635" s="236" t="n"/>
      <c r="N635" s="236" t="n"/>
      <c r="O635" s="236" t="n"/>
      <c r="P635" s="236" t="n"/>
    </row>
    <row r="636">
      <c r="A636" s="236" t="inlineStr">
        <is>
          <t>Correio Especial</t>
        </is>
      </c>
      <c r="B636" s="165" t="n">
        <v>1</v>
      </c>
      <c r="C636" s="68" t="n">
        <v>10</v>
      </c>
      <c r="D636" s="68">
        <f>C636*B636</f>
        <v/>
      </c>
      <c r="E636" s="340" t="n"/>
      <c r="F636" s="340" t="n"/>
      <c r="G636" s="340" t="n"/>
      <c r="H636" s="340" t="n"/>
      <c r="I636" s="340" t="n"/>
      <c r="J636" s="340" t="n"/>
      <c r="K636" s="236" t="n"/>
      <c r="L636" s="236" t="n"/>
      <c r="M636" s="236" t="n"/>
      <c r="N636" s="236" t="n"/>
      <c r="O636" s="236" t="n"/>
      <c r="P636" s="236" t="n"/>
    </row>
    <row r="637">
      <c r="A637" s="236" t="inlineStr">
        <is>
          <t>Agente 14</t>
        </is>
      </c>
      <c r="B637" s="165" t="n">
        <v>1</v>
      </c>
      <c r="C637" s="68" t="n">
        <v>15</v>
      </c>
      <c r="D637" s="68">
        <f>C637*B637</f>
        <v/>
      </c>
      <c r="E637" s="90" t="n"/>
      <c r="F637" s="68">
        <f>E637+D637</f>
        <v/>
      </c>
      <c r="G637" s="239">
        <f>F637</f>
        <v/>
      </c>
      <c r="H637" s="240" t="n">
        <v>45234</v>
      </c>
      <c r="I637" s="241" t="inlineStr">
        <is>
          <t>PIX</t>
        </is>
      </c>
      <c r="J637" s="302" t="n"/>
      <c r="K637" s="236" t="n"/>
      <c r="L637" s="236" t="n"/>
      <c r="M637" s="236" t="n"/>
      <c r="N637" s="236" t="n"/>
      <c r="O637" s="236" t="n"/>
      <c r="P637" s="236" t="n"/>
    </row>
    <row r="638">
      <c r="A638" s="236" t="inlineStr">
        <is>
          <t>Não identificado</t>
        </is>
      </c>
      <c r="B638" s="165" t="n">
        <v>1</v>
      </c>
      <c r="C638" s="68" t="n">
        <v>115</v>
      </c>
      <c r="D638" s="68">
        <f>C638*B638</f>
        <v/>
      </c>
      <c r="E638" s="90" t="n"/>
      <c r="F638" s="68">
        <f>E638+D638</f>
        <v/>
      </c>
      <c r="G638" s="239">
        <f>F638</f>
        <v/>
      </c>
      <c r="H638" s="240" t="n">
        <v>45234</v>
      </c>
      <c r="I638" s="241" t="inlineStr">
        <is>
          <t>PIX</t>
        </is>
      </c>
      <c r="J638" s="302" t="n"/>
      <c r="K638" s="236" t="n"/>
      <c r="L638" s="236" t="n"/>
      <c r="M638" s="236" t="n"/>
      <c r="N638" s="236" t="n"/>
      <c r="O638" s="236" t="n"/>
      <c r="P638" s="236" t="n"/>
    </row>
    <row r="639">
      <c r="A639" s="236" t="inlineStr">
        <is>
          <t>Pasiones Lacanianas</t>
        </is>
      </c>
      <c r="B639" s="165" t="n">
        <v>1</v>
      </c>
      <c r="C639" s="68" t="n">
        <v>85</v>
      </c>
      <c r="D639" s="68">
        <f>C639*B639</f>
        <v/>
      </c>
      <c r="E639" s="90" t="n"/>
      <c r="F639" s="68">
        <f>E639+D639</f>
        <v/>
      </c>
      <c r="G639" s="239">
        <f>F639</f>
        <v/>
      </c>
      <c r="H639" s="240" t="n">
        <v>45234</v>
      </c>
      <c r="I639" s="241" t="inlineStr">
        <is>
          <t>PIX</t>
        </is>
      </c>
      <c r="J639" s="302" t="n"/>
      <c r="K639" s="236" t="n"/>
      <c r="L639" s="236" t="n"/>
      <c r="M639" s="236" t="n"/>
      <c r="N639" s="236" t="n"/>
      <c r="O639" s="236" t="n"/>
      <c r="P639" s="236" t="n"/>
    </row>
    <row r="640">
      <c r="A640" s="236" t="inlineStr">
        <is>
          <t>O campo uniano</t>
        </is>
      </c>
      <c r="B640" s="165" t="n">
        <v>1</v>
      </c>
      <c r="C640" s="68" t="n">
        <v>120</v>
      </c>
      <c r="D640" s="68">
        <f>C640*B640</f>
        <v/>
      </c>
      <c r="E640" s="90" t="n"/>
      <c r="F640" s="68">
        <f>E640+D640</f>
        <v/>
      </c>
      <c r="G640" s="239">
        <f>F640</f>
        <v/>
      </c>
      <c r="H640" s="240" t="n">
        <v>45234</v>
      </c>
      <c r="I640" s="241" t="inlineStr">
        <is>
          <t>PIX</t>
        </is>
      </c>
      <c r="J640" s="302" t="n"/>
      <c r="K640" s="236" t="n"/>
      <c r="L640" s="236" t="n"/>
      <c r="M640" s="236" t="n"/>
      <c r="N640" s="236" t="n"/>
      <c r="O640" s="236" t="n"/>
      <c r="P640" s="236" t="n"/>
    </row>
    <row r="641">
      <c r="A641" s="236" t="inlineStr">
        <is>
          <t>El Nacimiento del Campo Freudiano</t>
        </is>
      </c>
      <c r="B641" s="165" t="n">
        <v>1</v>
      </c>
      <c r="C641" s="68" t="n">
        <v>180</v>
      </c>
      <c r="D641" s="68">
        <f>C641*B641</f>
        <v/>
      </c>
      <c r="E641" s="117" t="n"/>
      <c r="F641" s="68">
        <f>E641+D641+D642</f>
        <v/>
      </c>
      <c r="G641" s="239">
        <f>F641</f>
        <v/>
      </c>
      <c r="H641" s="281" t="n">
        <v>45234</v>
      </c>
      <c r="I641" s="250" t="inlineStr">
        <is>
          <t>PIX</t>
        </is>
      </c>
      <c r="J641" s="285" t="n"/>
      <c r="K641" s="236" t="n"/>
      <c r="L641" s="236" t="n"/>
      <c r="M641" s="236" t="n"/>
      <c r="N641" s="236" t="n"/>
      <c r="O641" s="236" t="n"/>
      <c r="P641" s="236" t="n"/>
    </row>
    <row r="642">
      <c r="A642" s="236" t="inlineStr">
        <is>
          <t>Anatomia de la modernidad</t>
        </is>
      </c>
      <c r="B642" s="165" t="n">
        <v>1</v>
      </c>
      <c r="C642" s="68" t="n">
        <v>75</v>
      </c>
      <c r="D642" s="68">
        <f>C642*B642</f>
        <v/>
      </c>
      <c r="E642" s="340" t="n"/>
      <c r="F642" s="340" t="n"/>
      <c r="G642" s="340" t="n"/>
      <c r="H642" s="340" t="n"/>
      <c r="I642" s="340" t="n"/>
      <c r="J642" s="340" t="n"/>
      <c r="K642" s="236" t="n"/>
      <c r="L642" s="236" t="n"/>
      <c r="M642" s="236" t="n"/>
      <c r="N642" s="236" t="n"/>
      <c r="O642" s="236" t="n"/>
      <c r="P642" s="236" t="n"/>
    </row>
    <row r="643">
      <c r="A643" s="236" t="inlineStr">
        <is>
          <t>El Fantasma, Aún</t>
        </is>
      </c>
      <c r="B643" s="165" t="n">
        <v>1</v>
      </c>
      <c r="C643" s="68" t="n">
        <v>80</v>
      </c>
      <c r="D643" s="68">
        <f>C643*B643</f>
        <v/>
      </c>
      <c r="E643" s="90" t="n"/>
      <c r="F643" s="68">
        <f>E643+D643</f>
        <v/>
      </c>
      <c r="G643" s="239">
        <f>F643</f>
        <v/>
      </c>
      <c r="H643" s="240" t="n">
        <v>45234</v>
      </c>
      <c r="I643" s="241" t="inlineStr">
        <is>
          <t>PIX</t>
        </is>
      </c>
      <c r="J643" s="302" t="n"/>
      <c r="K643" s="236" t="n"/>
      <c r="L643" s="236" t="n"/>
      <c r="M643" s="236" t="n"/>
      <c r="N643" s="236" t="n"/>
      <c r="O643" s="236" t="n"/>
      <c r="P643" s="236" t="n"/>
    </row>
    <row r="644">
      <c r="A644" s="236" t="inlineStr">
        <is>
          <t>Introduccion a la clínica con toxicomanias y alcoholismo II</t>
        </is>
      </c>
      <c r="B644" s="165" t="n">
        <v>1</v>
      </c>
      <c r="C644" s="68" t="n">
        <v>60</v>
      </c>
      <c r="D644" s="68">
        <f>C644*B644</f>
        <v/>
      </c>
      <c r="E644" s="117" t="n"/>
      <c r="F644" s="68">
        <f>E644+D644+D645</f>
        <v/>
      </c>
      <c r="G644" s="239">
        <f>F644</f>
        <v/>
      </c>
      <c r="H644" s="281" t="n">
        <v>45234</v>
      </c>
      <c r="I644" s="250" t="inlineStr">
        <is>
          <t>PIX</t>
        </is>
      </c>
      <c r="J644" s="285" t="n"/>
      <c r="K644" s="236" t="n"/>
      <c r="L644" s="236" t="n"/>
      <c r="M644" s="236" t="n"/>
      <c r="N644" s="236" t="n"/>
      <c r="O644" s="236" t="n"/>
      <c r="P644" s="236" t="n"/>
    </row>
    <row r="645">
      <c r="A645" s="236" t="inlineStr">
        <is>
          <t>Introduccion a la clínica con toxicomanias y alcoholismo III</t>
        </is>
      </c>
      <c r="B645" s="165" t="n">
        <v>1</v>
      </c>
      <c r="C645" s="68" t="n">
        <v>65</v>
      </c>
      <c r="D645" s="68">
        <f>C645*B645</f>
        <v/>
      </c>
      <c r="E645" s="340" t="n"/>
      <c r="F645" s="340" t="n"/>
      <c r="G645" s="340" t="n"/>
      <c r="H645" s="340" t="n"/>
      <c r="I645" s="340" t="n"/>
      <c r="J645" s="340" t="n"/>
      <c r="K645" s="236" t="n"/>
      <c r="L645" s="236" t="n"/>
      <c r="M645" s="236" t="n"/>
      <c r="N645" s="236" t="n"/>
      <c r="O645" s="236" t="n"/>
      <c r="P645" s="236" t="n"/>
    </row>
    <row r="646">
      <c r="A646" s="236" t="inlineStr">
        <is>
          <t>O campo uniano</t>
        </is>
      </c>
      <c r="B646" s="165" t="n">
        <v>1</v>
      </c>
      <c r="C646" s="68" t="n">
        <v>120</v>
      </c>
      <c r="D646" s="68">
        <f>C646*B646</f>
        <v/>
      </c>
      <c r="E646" s="90" t="n"/>
      <c r="F646" s="68">
        <f>E646+D646</f>
        <v/>
      </c>
      <c r="G646" s="239">
        <f>F646</f>
        <v/>
      </c>
      <c r="H646" s="240" t="n">
        <v>45234</v>
      </c>
      <c r="I646" s="241" t="inlineStr">
        <is>
          <t>PIX</t>
        </is>
      </c>
      <c r="J646" s="302" t="n"/>
      <c r="K646" s="236" t="n"/>
      <c r="L646" s="236" t="n"/>
      <c r="M646" s="236" t="n"/>
      <c r="N646" s="236" t="n"/>
      <c r="O646" s="236" t="n"/>
      <c r="P646" s="236" t="n"/>
    </row>
    <row r="647">
      <c r="A647" s="236" t="inlineStr">
        <is>
          <t>A função do pai em psicanálise</t>
        </is>
      </c>
      <c r="B647" s="165" t="n">
        <v>1</v>
      </c>
      <c r="C647" s="68" t="n">
        <v>60</v>
      </c>
      <c r="D647" s="68">
        <f>C647*B647</f>
        <v/>
      </c>
      <c r="E647" s="117" t="n"/>
      <c r="F647" s="68">
        <f>E647+D647+D648</f>
        <v/>
      </c>
      <c r="G647" s="239">
        <f>F647</f>
        <v/>
      </c>
      <c r="H647" s="281" t="n">
        <v>45234</v>
      </c>
      <c r="I647" s="250" t="inlineStr">
        <is>
          <t>PIX</t>
        </is>
      </c>
      <c r="J647" s="285" t="n"/>
      <c r="K647" s="236" t="n"/>
      <c r="L647" s="236" t="n"/>
      <c r="M647" s="236" t="n"/>
      <c r="N647" s="236" t="n"/>
      <c r="O647" s="236" t="n"/>
      <c r="P647" s="236" t="n"/>
    </row>
    <row r="648">
      <c r="A648" s="236" t="inlineStr">
        <is>
          <t>Agente 15</t>
        </is>
      </c>
      <c r="B648" s="165" t="n">
        <v>1</v>
      </c>
      <c r="C648" s="68" t="n">
        <v>15</v>
      </c>
      <c r="D648" s="68">
        <f>C648*B648</f>
        <v/>
      </c>
      <c r="E648" s="340" t="n"/>
      <c r="F648" s="340" t="n"/>
      <c r="G648" s="340" t="n"/>
      <c r="H648" s="340" t="n"/>
      <c r="I648" s="340" t="n"/>
      <c r="J648" s="340" t="n"/>
      <c r="K648" s="236" t="n"/>
      <c r="L648" s="236" t="n"/>
      <c r="M648" s="236" t="n"/>
      <c r="N648" s="236" t="n"/>
      <c r="O648" s="236" t="n"/>
      <c r="P648" s="236" t="n"/>
    </row>
    <row r="649">
      <c r="A649" s="236" t="inlineStr">
        <is>
          <t>El Fantasma, Aún</t>
        </is>
      </c>
      <c r="B649" s="165" t="n">
        <v>1</v>
      </c>
      <c r="C649" s="68" t="n">
        <v>80</v>
      </c>
      <c r="D649" s="68">
        <f>C649*B649</f>
        <v/>
      </c>
      <c r="E649" s="90" t="n"/>
      <c r="F649" s="68">
        <f>E649+D649</f>
        <v/>
      </c>
      <c r="G649" s="239">
        <f>F649</f>
        <v/>
      </c>
      <c r="H649" s="240" t="n">
        <v>45234</v>
      </c>
      <c r="I649" s="241" t="inlineStr">
        <is>
          <t>PIX</t>
        </is>
      </c>
      <c r="J649" s="302" t="n"/>
      <c r="K649" s="236" t="n"/>
      <c r="L649" s="236" t="n"/>
      <c r="M649" s="236" t="n"/>
      <c r="N649" s="236" t="n"/>
      <c r="O649" s="236" t="n"/>
      <c r="P649" s="236" t="n"/>
    </row>
    <row r="650">
      <c r="A650" s="236" t="inlineStr">
        <is>
          <t>IPB Seminários - Nieves Soria</t>
        </is>
      </c>
      <c r="B650" s="165" t="n">
        <v>1</v>
      </c>
      <c r="C650" s="68" t="n">
        <v>43</v>
      </c>
      <c r="D650" s="68">
        <f>C650*B650</f>
        <v/>
      </c>
      <c r="E650" s="117" t="n"/>
      <c r="F650" s="68">
        <f>E650+D650+D651+D652+D653</f>
        <v/>
      </c>
      <c r="G650" s="239">
        <f>F650</f>
        <v/>
      </c>
      <c r="H650" s="281" t="n">
        <v>45234</v>
      </c>
      <c r="I650" s="250" t="inlineStr">
        <is>
          <t>PIX</t>
        </is>
      </c>
      <c r="J650" s="285" t="n"/>
      <c r="K650" s="236" t="n"/>
      <c r="L650" s="236" t="n"/>
      <c r="M650" s="236" t="n"/>
      <c r="N650" s="236" t="n"/>
      <c r="O650" s="236" t="n"/>
      <c r="P650" s="236" t="n"/>
    </row>
    <row r="651">
      <c r="A651" s="236" t="inlineStr">
        <is>
          <t>Agente 14</t>
        </is>
      </c>
      <c r="B651" s="165" t="n">
        <v>1</v>
      </c>
      <c r="C651" s="68" t="n">
        <v>15</v>
      </c>
      <c r="D651" s="68">
        <f>C651*B651</f>
        <v/>
      </c>
      <c r="E651" s="343" t="n"/>
      <c r="F651" s="343" t="n"/>
      <c r="G651" s="343" t="n"/>
      <c r="H651" s="343" t="n"/>
      <c r="I651" s="343" t="n"/>
      <c r="J651" s="343" t="n"/>
      <c r="K651" s="236" t="n"/>
      <c r="L651" s="236" t="n"/>
      <c r="M651" s="236" t="n"/>
      <c r="N651" s="236" t="n"/>
      <c r="O651" s="236" t="n"/>
      <c r="P651" s="236" t="n"/>
    </row>
    <row r="652">
      <c r="A652" s="236" t="inlineStr">
        <is>
          <t>Agente 16</t>
        </is>
      </c>
      <c r="B652" s="165" t="n">
        <v>1</v>
      </c>
      <c r="C652" s="68" t="n">
        <v>12</v>
      </c>
      <c r="D652" s="68">
        <f>C652*B652</f>
        <v/>
      </c>
      <c r="E652" s="343" t="n"/>
      <c r="F652" s="343" t="n"/>
      <c r="G652" s="343" t="n"/>
      <c r="H652" s="343" t="n"/>
      <c r="I652" s="343" t="n"/>
      <c r="J652" s="343" t="n"/>
      <c r="K652" s="236" t="n"/>
      <c r="L652" s="236" t="n"/>
      <c r="M652" s="236" t="n"/>
      <c r="N652" s="236" t="n"/>
      <c r="O652" s="236" t="n"/>
      <c r="P652" s="236" t="n"/>
    </row>
    <row r="653">
      <c r="A653" s="236" t="inlineStr">
        <is>
          <t>A MULHER: NASCER DE UM MAL-ENTENDIDO</t>
        </is>
      </c>
      <c r="B653" s="165" t="n">
        <v>1</v>
      </c>
      <c r="C653" s="68" t="n">
        <v>80</v>
      </c>
      <c r="D653" s="68">
        <f>C653*B653</f>
        <v/>
      </c>
      <c r="E653" s="340" t="n"/>
      <c r="F653" s="340" t="n"/>
      <c r="G653" s="340" t="n"/>
      <c r="H653" s="340" t="n"/>
      <c r="I653" s="340" t="n"/>
      <c r="J653" s="340" t="n"/>
      <c r="K653" s="236" t="n"/>
      <c r="L653" s="236" t="n"/>
      <c r="M653" s="236" t="n"/>
      <c r="N653" s="236" t="n"/>
      <c r="O653" s="236" t="n"/>
      <c r="P653" s="236" t="n"/>
    </row>
    <row r="654">
      <c r="A654" s="236" t="inlineStr">
        <is>
          <t>Correio 57</t>
        </is>
      </c>
      <c r="B654" s="165" t="n">
        <v>1</v>
      </c>
      <c r="C654" s="68" t="n">
        <v>10</v>
      </c>
      <c r="D654" s="68">
        <f>C654*B654</f>
        <v/>
      </c>
      <c r="E654" s="117" t="n"/>
      <c r="F654" s="68">
        <f>E654+D654+D655</f>
        <v/>
      </c>
      <c r="G654" s="239">
        <f>F654</f>
        <v/>
      </c>
      <c r="H654" s="281" t="n">
        <v>45234</v>
      </c>
      <c r="I654" s="250" t="inlineStr">
        <is>
          <t>PIX</t>
        </is>
      </c>
      <c r="J654" s="285" t="n"/>
      <c r="K654" s="236" t="n"/>
      <c r="L654" s="236" t="n"/>
      <c r="M654" s="236" t="n"/>
      <c r="N654" s="236" t="n"/>
      <c r="O654" s="236" t="n"/>
      <c r="P654" s="236" t="n"/>
    </row>
    <row r="655">
      <c r="A655" s="236" t="inlineStr">
        <is>
          <t>Agente 14</t>
        </is>
      </c>
      <c r="B655" s="165" t="n">
        <v>1</v>
      </c>
      <c r="C655" s="68" t="n">
        <v>15</v>
      </c>
      <c r="D655" s="68">
        <f>C655*B655</f>
        <v/>
      </c>
      <c r="E655" s="340" t="n"/>
      <c r="F655" s="340" t="n"/>
      <c r="G655" s="340" t="n"/>
      <c r="H655" s="340" t="n"/>
      <c r="I655" s="340" t="n"/>
      <c r="J655" s="340" t="n"/>
      <c r="K655" s="236" t="n"/>
      <c r="L655" s="236" t="n"/>
      <c r="M655" s="236" t="n"/>
      <c r="N655" s="236" t="n"/>
      <c r="O655" s="236" t="n"/>
      <c r="P655" s="236" t="n"/>
    </row>
    <row r="656">
      <c r="A656" s="236" t="inlineStr">
        <is>
          <t>Introduccion a la clínica con toxicomanias y alcoholismo II</t>
        </is>
      </c>
      <c r="B656" s="165" t="n">
        <v>1</v>
      </c>
      <c r="C656" s="68" t="n">
        <v>60</v>
      </c>
      <c r="D656" s="68">
        <f>C656*B656</f>
        <v/>
      </c>
      <c r="E656" s="90" t="n"/>
      <c r="F656" s="68">
        <f>E656+D656</f>
        <v/>
      </c>
      <c r="G656" s="239">
        <f>F656</f>
        <v/>
      </c>
      <c r="H656" s="240" t="n">
        <v>45234</v>
      </c>
      <c r="I656" s="241" t="inlineStr">
        <is>
          <t>PIX</t>
        </is>
      </c>
      <c r="J656" s="302" t="n"/>
      <c r="K656" s="236" t="n"/>
      <c r="L656" s="236" t="n"/>
      <c r="M656" s="236" t="n"/>
      <c r="N656" s="236" t="n"/>
      <c r="O656" s="236" t="n"/>
      <c r="P656" s="236" t="n"/>
    </row>
    <row r="657">
      <c r="A657" s="236" t="inlineStr">
        <is>
          <t>A MULHER: NASCER DE UM MAL-ENTENDIDO</t>
        </is>
      </c>
      <c r="B657" s="165" t="n">
        <v>1</v>
      </c>
      <c r="C657" s="68" t="n">
        <v>80</v>
      </c>
      <c r="D657" s="68">
        <f>C657*B657</f>
        <v/>
      </c>
      <c r="E657" s="90" t="n"/>
      <c r="F657" s="68">
        <f>E657+D657</f>
        <v/>
      </c>
      <c r="G657" s="239">
        <f>F657</f>
        <v/>
      </c>
      <c r="H657" s="240" t="n">
        <v>45234</v>
      </c>
      <c r="I657" s="241" t="inlineStr">
        <is>
          <t>PIX</t>
        </is>
      </c>
      <c r="J657" s="302" t="n"/>
      <c r="K657" s="236" t="n"/>
      <c r="L657" s="236" t="n"/>
      <c r="M657" s="236" t="n"/>
      <c r="N657" s="236" t="n"/>
      <c r="O657" s="236" t="n"/>
      <c r="P657" s="236" t="n"/>
    </row>
    <row r="658">
      <c r="A658" s="236" t="inlineStr">
        <is>
          <t>El Nacimiento del Campo Freudiano</t>
        </is>
      </c>
      <c r="B658" s="165" t="n">
        <v>1</v>
      </c>
      <c r="C658" s="68" t="n">
        <v>180</v>
      </c>
      <c r="D658" s="68">
        <f>C658*B658</f>
        <v/>
      </c>
      <c r="E658" s="90" t="n"/>
      <c r="F658" s="68">
        <f>E658+D658</f>
        <v/>
      </c>
      <c r="G658" s="239">
        <f>F658</f>
        <v/>
      </c>
      <c r="H658" s="240" t="n">
        <v>45234</v>
      </c>
      <c r="I658" s="241" t="inlineStr">
        <is>
          <t>PIX</t>
        </is>
      </c>
      <c r="J658" s="302" t="n"/>
      <c r="K658" s="236" t="n"/>
      <c r="L658" s="236" t="n"/>
      <c r="M658" s="236" t="n"/>
      <c r="N658" s="236" t="n"/>
      <c r="O658" s="236" t="n"/>
      <c r="P658" s="236" t="n"/>
    </row>
    <row r="659">
      <c r="A659" s="236" t="inlineStr">
        <is>
          <t>Agente 20</t>
        </is>
      </c>
      <c r="B659" s="165" t="n">
        <v>1</v>
      </c>
      <c r="C659" s="68" t="n">
        <v>70</v>
      </c>
      <c r="D659" s="68">
        <f>C659*B659</f>
        <v/>
      </c>
      <c r="E659" s="90" t="n"/>
      <c r="F659" s="68">
        <f>E659+D659</f>
        <v/>
      </c>
      <c r="G659" s="239">
        <f>F659</f>
        <v/>
      </c>
      <c r="H659" s="240" t="n">
        <v>45234</v>
      </c>
      <c r="I659" s="241" t="inlineStr">
        <is>
          <t>PIX</t>
        </is>
      </c>
      <c r="J659" s="302" t="n"/>
      <c r="K659" s="236" t="n"/>
      <c r="L659" s="236" t="n"/>
      <c r="M659" s="236" t="n"/>
      <c r="N659" s="236" t="n"/>
      <c r="O659" s="236" t="n"/>
      <c r="P659" s="236" t="n"/>
    </row>
    <row r="660">
      <c r="A660" s="236" t="inlineStr">
        <is>
          <t>IPB Seminários - Nieves Soria</t>
        </is>
      </c>
      <c r="B660" s="165" t="n">
        <v>1</v>
      </c>
      <c r="C660" s="68" t="n">
        <v>20</v>
      </c>
      <c r="D660" s="68">
        <f>C660*B660</f>
        <v/>
      </c>
      <c r="E660" s="90" t="n"/>
      <c r="F660" s="68">
        <f>E660+D660</f>
        <v/>
      </c>
      <c r="G660" s="239">
        <f>F660</f>
        <v/>
      </c>
      <c r="H660" s="240" t="n">
        <v>45234</v>
      </c>
      <c r="I660" s="250" t="inlineStr">
        <is>
          <t>PIX</t>
        </is>
      </c>
      <c r="J660" s="282" t="n"/>
      <c r="K660" s="236" t="n"/>
      <c r="L660" s="236" t="n"/>
      <c r="M660" s="236" t="n"/>
      <c r="N660" s="236" t="n"/>
      <c r="O660" s="236" t="n"/>
      <c r="P660" s="236" t="n"/>
    </row>
    <row r="661">
      <c r="A661" s="236" t="inlineStr">
        <is>
          <t>Agente 14</t>
        </is>
      </c>
      <c r="B661" s="165" t="n">
        <v>1</v>
      </c>
      <c r="C661" s="68" t="n">
        <v>15</v>
      </c>
      <c r="D661" s="68">
        <f>C661*B661</f>
        <v/>
      </c>
      <c r="E661" s="90" t="n"/>
      <c r="F661" s="68">
        <f>E661+D661</f>
        <v/>
      </c>
      <c r="G661" s="239">
        <f>F661</f>
        <v/>
      </c>
      <c r="H661" s="240" t="n">
        <v>45234</v>
      </c>
      <c r="I661" s="250" t="inlineStr">
        <is>
          <t>PIX</t>
        </is>
      </c>
      <c r="J661" s="282" t="n"/>
      <c r="K661" s="236" t="n"/>
      <c r="L661" s="236" t="n"/>
      <c r="M661" s="236" t="n"/>
      <c r="N661" s="236" t="n"/>
      <c r="O661" s="236" t="n"/>
      <c r="P661" s="236" t="n"/>
    </row>
    <row r="662">
      <c r="A662" s="236" t="inlineStr">
        <is>
          <t>IPB Seminários - Nieves Soria</t>
        </is>
      </c>
      <c r="B662" s="165" t="n">
        <v>1</v>
      </c>
      <c r="C662" s="68" t="n">
        <v>20</v>
      </c>
      <c r="D662" s="68">
        <f>C662*B662</f>
        <v/>
      </c>
      <c r="E662" s="90" t="n"/>
      <c r="F662" s="68">
        <f>E662+D662</f>
        <v/>
      </c>
      <c r="G662" s="239">
        <f>F662</f>
        <v/>
      </c>
      <c r="H662" s="240" t="n">
        <v>45234</v>
      </c>
      <c r="I662" s="250" t="inlineStr">
        <is>
          <t>PIX</t>
        </is>
      </c>
      <c r="J662" s="282" t="n"/>
      <c r="K662" s="236" t="n"/>
      <c r="L662" s="236" t="n"/>
      <c r="M662" s="236" t="n"/>
      <c r="N662" s="236" t="n"/>
      <c r="O662" s="236" t="n"/>
      <c r="P662" s="236" t="n"/>
    </row>
    <row r="663">
      <c r="A663" s="236" t="inlineStr">
        <is>
          <t>IPB Seminários - Nieves Soria</t>
        </is>
      </c>
      <c r="B663" s="165" t="n">
        <v>1</v>
      </c>
      <c r="C663" s="68" t="n">
        <v>20</v>
      </c>
      <c r="D663" s="68">
        <f>C663*B663</f>
        <v/>
      </c>
      <c r="E663" s="90" t="n"/>
      <c r="F663" s="68">
        <f>E663+D663</f>
        <v/>
      </c>
      <c r="G663" s="239">
        <f>F663</f>
        <v/>
      </c>
      <c r="H663" s="240" t="n">
        <v>45234</v>
      </c>
      <c r="I663" s="250" t="inlineStr">
        <is>
          <t>PIX</t>
        </is>
      </c>
      <c r="J663" s="282" t="n"/>
      <c r="K663" s="236" t="n"/>
      <c r="L663" s="236" t="n"/>
      <c r="M663" s="236" t="n"/>
      <c r="N663" s="236" t="n"/>
      <c r="O663" s="236" t="n"/>
      <c r="P663" s="236" t="n"/>
    </row>
    <row r="664">
      <c r="A664" s="236" t="inlineStr">
        <is>
          <t>IPB Seminários - Nieves Soria</t>
        </is>
      </c>
      <c r="B664" s="165" t="n">
        <v>1</v>
      </c>
      <c r="C664" s="68" t="n">
        <v>20</v>
      </c>
      <c r="D664" s="68">
        <f>C664*B664</f>
        <v/>
      </c>
      <c r="E664" s="90" t="n"/>
      <c r="F664" s="68">
        <f>E664+D664</f>
        <v/>
      </c>
      <c r="G664" s="239">
        <f>F664</f>
        <v/>
      </c>
      <c r="H664" s="240" t="n">
        <v>45234</v>
      </c>
      <c r="I664" s="250" t="inlineStr">
        <is>
          <t>PIX</t>
        </is>
      </c>
      <c r="J664" s="282" t="n"/>
      <c r="K664" s="236" t="n"/>
      <c r="L664" s="236" t="n"/>
      <c r="M664" s="236" t="n"/>
      <c r="N664" s="236" t="n"/>
      <c r="O664" s="236" t="n"/>
      <c r="P664" s="236" t="n"/>
    </row>
    <row r="665">
      <c r="A665" s="236" t="inlineStr">
        <is>
          <t>Agente 14</t>
        </is>
      </c>
      <c r="B665" s="165" t="n">
        <v>1</v>
      </c>
      <c r="C665" s="68" t="n">
        <v>15</v>
      </c>
      <c r="D665" s="68">
        <f>C665*B665</f>
        <v/>
      </c>
      <c r="E665" s="90" t="n"/>
      <c r="F665" s="68">
        <f>E665+D665</f>
        <v/>
      </c>
      <c r="G665" s="239">
        <f>F665</f>
        <v/>
      </c>
      <c r="H665" s="240" t="n">
        <v>45234</v>
      </c>
      <c r="I665" s="250" t="inlineStr">
        <is>
          <t>PIX</t>
        </is>
      </c>
      <c r="J665" s="282" t="n"/>
      <c r="K665" s="236" t="n"/>
      <c r="L665" s="236" t="n"/>
      <c r="M665" s="236" t="n"/>
      <c r="N665" s="236" t="n"/>
      <c r="O665" s="236" t="n"/>
      <c r="P665" s="236" t="n"/>
    </row>
    <row r="666">
      <c r="A666" s="236" t="inlineStr">
        <is>
          <t>O Feminino In-familiar</t>
        </is>
      </c>
      <c r="B666" s="165" t="n">
        <v>1</v>
      </c>
      <c r="C666" s="68" t="n">
        <v>55</v>
      </c>
      <c r="D666" s="68">
        <f>C666*B666</f>
        <v/>
      </c>
      <c r="E666" s="90" t="n"/>
      <c r="F666" s="68">
        <f>E666+D666</f>
        <v/>
      </c>
      <c r="G666" s="239">
        <f>F666</f>
        <v/>
      </c>
      <c r="H666" s="240" t="n">
        <v>45234</v>
      </c>
      <c r="I666" s="250" t="inlineStr">
        <is>
          <t>PIX</t>
        </is>
      </c>
      <c r="J666" s="282" t="n"/>
      <c r="K666" s="236" t="n"/>
      <c r="L666" s="236" t="n"/>
      <c r="M666" s="236" t="n"/>
      <c r="N666" s="236" t="n"/>
      <c r="O666" s="236" t="n"/>
      <c r="P666" s="236" t="n"/>
    </row>
    <row r="667">
      <c r="A667" s="236" t="inlineStr">
        <is>
          <t>Violencia en Las escuelas</t>
        </is>
      </c>
      <c r="B667" s="165" t="n">
        <v>1</v>
      </c>
      <c r="C667" s="68" t="n">
        <v>85</v>
      </c>
      <c r="D667" s="68">
        <f>C667*B667</f>
        <v/>
      </c>
      <c r="E667" s="90" t="n"/>
      <c r="F667" s="68">
        <f>E667+D667</f>
        <v/>
      </c>
      <c r="G667" s="304">
        <f>F667</f>
        <v/>
      </c>
      <c r="H667" s="305" t="n">
        <v>45252</v>
      </c>
      <c r="I667" s="306" t="inlineStr">
        <is>
          <t>PIX</t>
        </is>
      </c>
      <c r="J667" s="307" t="n"/>
    </row>
    <row r="668">
      <c r="A668" s="236" t="inlineStr">
        <is>
          <t>El outro que no existe y sus comités de ética</t>
        </is>
      </c>
      <c r="B668" s="165" t="n">
        <v>1</v>
      </c>
      <c r="C668" s="68" t="n">
        <v>180</v>
      </c>
      <c r="D668" s="68">
        <f>C668*B668</f>
        <v/>
      </c>
      <c r="E668" s="90" t="n"/>
      <c r="F668" s="68">
        <f>E668+D668</f>
        <v/>
      </c>
      <c r="G668" s="304">
        <f>F668</f>
        <v/>
      </c>
      <c r="H668" s="305" t="n">
        <v>45252</v>
      </c>
      <c r="I668" s="306" t="inlineStr">
        <is>
          <t>PIX</t>
        </is>
      </c>
      <c r="J668" s="307" t="n"/>
    </row>
    <row r="669">
      <c r="A669" s="236" t="inlineStr">
        <is>
          <t>Agente 14</t>
        </is>
      </c>
      <c r="B669" s="165" t="n">
        <v>1</v>
      </c>
      <c r="C669" s="68" t="n">
        <v>15</v>
      </c>
      <c r="D669" s="68">
        <f>C669*B669</f>
        <v/>
      </c>
      <c r="E669" s="117" t="n">
        <v>17.3</v>
      </c>
      <c r="F669" s="68">
        <f>E669+D669+D670+D671+D672</f>
        <v/>
      </c>
      <c r="G669" s="229">
        <f>F669</f>
        <v/>
      </c>
      <c r="H669" s="214" t="n">
        <v>45254</v>
      </c>
      <c r="I669" s="216" t="inlineStr">
        <is>
          <t>PIX</t>
        </is>
      </c>
      <c r="J669" s="352" t="n"/>
    </row>
    <row r="670">
      <c r="A670" s="236" t="inlineStr">
        <is>
          <t>Agente 16</t>
        </is>
      </c>
      <c r="B670" s="165" t="n">
        <v>1</v>
      </c>
      <c r="C670" s="68" t="n">
        <v>12</v>
      </c>
      <c r="D670" s="68">
        <f>C670*B670</f>
        <v/>
      </c>
      <c r="E670" s="343" t="n"/>
      <c r="F670" s="343" t="n"/>
      <c r="G670" s="343" t="n"/>
      <c r="H670" s="343" t="n"/>
      <c r="I670" s="343" t="n"/>
      <c r="J670" s="343" t="n"/>
    </row>
    <row r="671">
      <c r="A671" s="236" t="inlineStr">
        <is>
          <t>Agente 19</t>
        </is>
      </c>
      <c r="B671" s="165" t="n">
        <v>1</v>
      </c>
      <c r="C671" s="68" t="n">
        <v>50</v>
      </c>
      <c r="D671" s="68">
        <f>C671*B671</f>
        <v/>
      </c>
      <c r="E671" s="343" t="n"/>
      <c r="F671" s="343" t="n"/>
      <c r="G671" s="343" t="n"/>
      <c r="H671" s="343" t="n"/>
      <c r="I671" s="343" t="n"/>
      <c r="J671" s="343" t="n"/>
    </row>
    <row r="672">
      <c r="A672" s="236" t="inlineStr">
        <is>
          <t>Agente 20</t>
        </is>
      </c>
      <c r="B672" s="165" t="n">
        <v>1</v>
      </c>
      <c r="C672" s="68" t="n">
        <v>70</v>
      </c>
      <c r="D672" s="68">
        <f>C672*B672</f>
        <v/>
      </c>
      <c r="E672" s="340" t="n"/>
      <c r="F672" s="340" t="n"/>
      <c r="G672" s="340" t="n"/>
      <c r="H672" s="340" t="n"/>
      <c r="I672" s="340" t="n"/>
      <c r="J672" s="340" t="n"/>
    </row>
    <row r="673">
      <c r="A673" s="236" t="inlineStr">
        <is>
          <t>Psicologia, Psicanálise e Saúde Mental</t>
        </is>
      </c>
      <c r="B673" s="165" t="n">
        <v>1</v>
      </c>
      <c r="C673" s="68" t="n">
        <v>45</v>
      </c>
      <c r="D673" s="68">
        <f>C673*B673</f>
        <v/>
      </c>
      <c r="E673" s="90" t="n"/>
      <c r="F673" s="68">
        <f>E673+D673</f>
        <v/>
      </c>
      <c r="G673" s="229">
        <f>F673</f>
        <v/>
      </c>
      <c r="H673" s="210" t="n">
        <v>45255</v>
      </c>
      <c r="I673" s="216" t="inlineStr">
        <is>
          <t>PIX</t>
        </is>
      </c>
      <c r="J673" s="309" t="n"/>
    </row>
    <row r="674">
      <c r="A674" s="236" t="inlineStr">
        <is>
          <t>O campo uniano</t>
        </is>
      </c>
      <c r="B674" s="165" t="n">
        <v>1</v>
      </c>
      <c r="C674" s="68" t="n">
        <v>120</v>
      </c>
      <c r="D674" s="68">
        <f>C674*B674</f>
        <v/>
      </c>
      <c r="E674" s="90" t="n">
        <v>15</v>
      </c>
      <c r="F674" s="68">
        <f>E674+D674</f>
        <v/>
      </c>
      <c r="G674" s="69">
        <f>F674</f>
        <v/>
      </c>
      <c r="H674" s="202" t="n">
        <v>45258</v>
      </c>
      <c r="I674" s="273" t="inlineStr">
        <is>
          <t>PIX</t>
        </is>
      </c>
      <c r="J674" s="310" t="n"/>
    </row>
    <row r="675">
      <c r="A675" s="236" t="inlineStr">
        <is>
          <t>O campo uniano</t>
        </is>
      </c>
      <c r="B675" s="165" t="n">
        <v>1</v>
      </c>
      <c r="C675" s="68" t="n">
        <v>120</v>
      </c>
      <c r="D675" s="68">
        <f>C675*B675</f>
        <v/>
      </c>
      <c r="E675" s="90" t="n">
        <v>15</v>
      </c>
      <c r="F675" s="68">
        <f>E675+D675</f>
        <v/>
      </c>
      <c r="G675" s="69">
        <f>F675</f>
        <v/>
      </c>
      <c r="H675" s="202" t="n">
        <v>45258</v>
      </c>
      <c r="I675" s="273" t="inlineStr">
        <is>
          <t>PIX</t>
        </is>
      </c>
      <c r="J675" s="310" t="n"/>
    </row>
    <row r="676">
      <c r="A676" s="236" t="inlineStr">
        <is>
          <t>O campo uniano</t>
        </is>
      </c>
      <c r="B676" s="165" t="n">
        <v>1</v>
      </c>
      <c r="C676" s="68" t="n">
        <v>120</v>
      </c>
      <c r="D676" s="68">
        <f>C676*B676</f>
        <v/>
      </c>
      <c r="E676" s="90" t="n">
        <v>15</v>
      </c>
      <c r="F676" s="68">
        <f>E676+D676</f>
        <v/>
      </c>
      <c r="G676" s="69">
        <f>F676</f>
        <v/>
      </c>
      <c r="H676" s="202" t="n">
        <v>45258</v>
      </c>
      <c r="I676" s="273" t="inlineStr">
        <is>
          <t>PIX</t>
        </is>
      </c>
      <c r="J676" s="310" t="n"/>
    </row>
    <row r="677">
      <c r="A677" s="236" t="inlineStr">
        <is>
          <t>O campo uniano</t>
        </is>
      </c>
      <c r="B677" s="165" t="n">
        <v>2</v>
      </c>
      <c r="C677" s="68" t="n">
        <v>120</v>
      </c>
      <c r="D677" s="68">
        <f>C677*B677</f>
        <v/>
      </c>
      <c r="E677" s="90" t="n">
        <v>23.5</v>
      </c>
      <c r="F677" s="68">
        <f>E677+D677</f>
        <v/>
      </c>
      <c r="G677" s="69">
        <f>F677</f>
        <v/>
      </c>
      <c r="H677" s="202" t="n">
        <v>45259</v>
      </c>
      <c r="I677" s="273" t="inlineStr">
        <is>
          <t>PIX</t>
        </is>
      </c>
      <c r="J677" s="310" t="n"/>
    </row>
    <row r="678">
      <c r="A678" s="236" t="inlineStr">
        <is>
          <t>Agente 20</t>
        </is>
      </c>
      <c r="B678" s="165" t="n">
        <v>1</v>
      </c>
      <c r="C678" s="68" t="n">
        <v>70</v>
      </c>
      <c r="D678" s="68">
        <f>C678*B678</f>
        <v/>
      </c>
      <c r="E678" s="90" t="n">
        <v>4.5</v>
      </c>
      <c r="F678" s="68">
        <f>E678+D678</f>
        <v/>
      </c>
      <c r="G678" s="69">
        <f>F678</f>
        <v/>
      </c>
      <c r="H678" s="202" t="n">
        <v>45259</v>
      </c>
      <c r="I678" s="273" t="inlineStr">
        <is>
          <t>PIX</t>
        </is>
      </c>
      <c r="J678" s="310" t="n"/>
    </row>
    <row r="679">
      <c r="A679" s="236" t="inlineStr">
        <is>
          <t>Agente 20</t>
        </is>
      </c>
      <c r="B679" s="165" t="n">
        <v>1</v>
      </c>
      <c r="C679" s="68" t="n">
        <v>70</v>
      </c>
      <c r="D679" s="68">
        <f>C679*B679</f>
        <v/>
      </c>
      <c r="E679" s="90" t="n">
        <v>4.5</v>
      </c>
      <c r="F679" s="68">
        <f>E679+D679</f>
        <v/>
      </c>
      <c r="G679" s="69">
        <f>F679</f>
        <v/>
      </c>
      <c r="H679" s="202" t="n">
        <v>45259</v>
      </c>
      <c r="I679" s="273" t="inlineStr">
        <is>
          <t>PIX</t>
        </is>
      </c>
      <c r="J679" s="310" t="n"/>
    </row>
    <row r="680">
      <c r="A680" s="236" t="inlineStr">
        <is>
          <t>Agente 20</t>
        </is>
      </c>
      <c r="B680" s="165" t="n">
        <v>1</v>
      </c>
      <c r="C680" s="68" t="n">
        <v>70</v>
      </c>
      <c r="D680" s="68">
        <f>C680*B680</f>
        <v/>
      </c>
      <c r="E680" s="90" t="n">
        <v>4.5</v>
      </c>
      <c r="F680" s="68">
        <f>E680+D680</f>
        <v/>
      </c>
      <c r="G680" s="69">
        <f>F680</f>
        <v/>
      </c>
      <c r="H680" s="202" t="n">
        <v>45259</v>
      </c>
      <c r="I680" s="273" t="inlineStr">
        <is>
          <t>PIX</t>
        </is>
      </c>
      <c r="J680" s="310" t="n"/>
    </row>
    <row r="681">
      <c r="A681" s="236" t="inlineStr">
        <is>
          <t>Agente 20</t>
        </is>
      </c>
      <c r="B681" s="165" t="n">
        <v>1</v>
      </c>
      <c r="C681" s="68" t="n">
        <v>70</v>
      </c>
      <c r="D681" s="68">
        <f>C681*B681</f>
        <v/>
      </c>
      <c r="E681" s="90" t="n">
        <v>4.5</v>
      </c>
      <c r="F681" s="68">
        <f>E681+D681</f>
        <v/>
      </c>
      <c r="G681" s="69">
        <f>F681</f>
        <v/>
      </c>
      <c r="H681" s="202" t="n">
        <v>45259</v>
      </c>
      <c r="I681" s="273" t="inlineStr">
        <is>
          <t>PIX</t>
        </is>
      </c>
      <c r="J681" s="310" t="n"/>
    </row>
    <row r="682">
      <c r="A682" s="236" t="inlineStr">
        <is>
          <t>Agente 20</t>
        </is>
      </c>
      <c r="B682" s="165" t="n">
        <v>1</v>
      </c>
      <c r="C682" s="68" t="n">
        <v>70</v>
      </c>
      <c r="D682" s="68">
        <f>C682*B682</f>
        <v/>
      </c>
      <c r="E682" s="90" t="n">
        <v>4.5</v>
      </c>
      <c r="F682" s="68">
        <f>E682+D682</f>
        <v/>
      </c>
      <c r="G682" s="69">
        <f>F682</f>
        <v/>
      </c>
      <c r="H682" s="202" t="n">
        <v>45259</v>
      </c>
      <c r="I682" s="273" t="inlineStr">
        <is>
          <t>PIX</t>
        </is>
      </c>
      <c r="J682" s="310" t="n"/>
    </row>
    <row r="683">
      <c r="A683" s="236" t="inlineStr">
        <is>
          <t>Agente 20</t>
        </is>
      </c>
      <c r="B683" s="165" t="n">
        <v>1</v>
      </c>
      <c r="C683" s="68" t="n">
        <v>70</v>
      </c>
      <c r="D683" s="68">
        <f>C683*B683</f>
        <v/>
      </c>
      <c r="E683" s="90" t="n">
        <v>4.5</v>
      </c>
      <c r="F683" s="68">
        <f>E683+D683</f>
        <v/>
      </c>
      <c r="G683" s="69">
        <f>F683</f>
        <v/>
      </c>
      <c r="H683" s="202" t="n">
        <v>45259</v>
      </c>
      <c r="I683" s="273" t="inlineStr">
        <is>
          <t>PIX</t>
        </is>
      </c>
      <c r="J683" s="310" t="n"/>
    </row>
    <row r="684">
      <c r="A684" s="236" t="inlineStr">
        <is>
          <t>Agente 20</t>
        </is>
      </c>
      <c r="B684" s="165" t="n">
        <v>1</v>
      </c>
      <c r="C684" s="68" t="n">
        <v>70</v>
      </c>
      <c r="D684" s="68">
        <f>C684*B684</f>
        <v/>
      </c>
      <c r="E684" s="90" t="n">
        <v>4.5</v>
      </c>
      <c r="F684" s="68">
        <f>E684+D684</f>
        <v/>
      </c>
      <c r="G684" s="69">
        <f>F684</f>
        <v/>
      </c>
      <c r="H684" s="202" t="n">
        <v>45259</v>
      </c>
      <c r="I684" s="273" t="inlineStr">
        <is>
          <t>PIX</t>
        </is>
      </c>
      <c r="J684" s="310" t="n"/>
    </row>
    <row r="685">
      <c r="A685" s="236" t="inlineStr">
        <is>
          <t>Agente 20</t>
        </is>
      </c>
      <c r="B685" s="165" t="n">
        <v>1</v>
      </c>
      <c r="C685" s="68" t="n">
        <v>70</v>
      </c>
      <c r="D685" s="68">
        <f>C685*B685</f>
        <v/>
      </c>
      <c r="E685" s="90" t="n">
        <v>4.5</v>
      </c>
      <c r="F685" s="68">
        <f>E685+D685</f>
        <v/>
      </c>
      <c r="G685" s="69">
        <f>F685</f>
        <v/>
      </c>
      <c r="H685" s="202" t="n">
        <v>45259</v>
      </c>
      <c r="I685" s="273" t="inlineStr">
        <is>
          <t>PIX</t>
        </is>
      </c>
      <c r="J685" s="310" t="n"/>
    </row>
    <row r="686">
      <c r="A686" s="236" t="inlineStr">
        <is>
          <t>Agente 20</t>
        </is>
      </c>
      <c r="B686" s="165" t="n">
        <v>1</v>
      </c>
      <c r="C686" s="68" t="n">
        <v>70</v>
      </c>
      <c r="D686" s="68">
        <f>C686*B686</f>
        <v/>
      </c>
      <c r="E686" s="90" t="n">
        <v>4.5</v>
      </c>
      <c r="F686" s="68">
        <f>E686+D686</f>
        <v/>
      </c>
      <c r="G686" s="69">
        <f>F686</f>
        <v/>
      </c>
      <c r="H686" s="202" t="n">
        <v>45259</v>
      </c>
      <c r="I686" s="273" t="inlineStr">
        <is>
          <t>PIX</t>
        </is>
      </c>
      <c r="J686" s="310" t="n"/>
    </row>
    <row r="687">
      <c r="A687" s="236" t="inlineStr">
        <is>
          <t>Agente 20</t>
        </is>
      </c>
      <c r="B687" s="165" t="n">
        <v>1</v>
      </c>
      <c r="C687" s="68" t="n">
        <v>70</v>
      </c>
      <c r="D687" s="68">
        <f>C687*B687</f>
        <v/>
      </c>
      <c r="E687" s="90" t="n">
        <v>4.5</v>
      </c>
      <c r="F687" s="68">
        <f>E687+D687</f>
        <v/>
      </c>
      <c r="G687" s="69">
        <f>F687</f>
        <v/>
      </c>
      <c r="H687" s="202" t="n">
        <v>45259</v>
      </c>
      <c r="I687" s="273" t="inlineStr">
        <is>
          <t>PIX</t>
        </is>
      </c>
      <c r="J687" s="310" t="n"/>
    </row>
    <row r="688">
      <c r="A688" s="236" t="inlineStr">
        <is>
          <t>Agente 20</t>
        </is>
      </c>
      <c r="B688" s="165" t="n">
        <v>1</v>
      </c>
      <c r="C688" s="68" t="n">
        <v>70</v>
      </c>
      <c r="D688" s="68">
        <f>C688*B688</f>
        <v/>
      </c>
      <c r="E688" s="90" t="n">
        <v>4.5</v>
      </c>
      <c r="F688" s="68">
        <f>E688+D688</f>
        <v/>
      </c>
      <c r="G688" s="69">
        <f>F688</f>
        <v/>
      </c>
      <c r="H688" s="202" t="n">
        <v>45259</v>
      </c>
      <c r="I688" s="273" t="inlineStr">
        <is>
          <t>PIX</t>
        </is>
      </c>
      <c r="J688" s="310" t="n"/>
    </row>
    <row r="689">
      <c r="A689" s="236" t="inlineStr">
        <is>
          <t>Agente 20</t>
        </is>
      </c>
      <c r="B689" s="165" t="n">
        <v>1</v>
      </c>
      <c r="C689" s="68" t="n">
        <v>70</v>
      </c>
      <c r="D689" s="68">
        <f>C689*B689</f>
        <v/>
      </c>
      <c r="E689" s="90" t="n">
        <v>4.5</v>
      </c>
      <c r="F689" s="68">
        <f>E689+D689</f>
        <v/>
      </c>
      <c r="G689" s="69">
        <f>F689</f>
        <v/>
      </c>
      <c r="H689" s="202" t="n">
        <v>45259</v>
      </c>
      <c r="I689" s="273" t="inlineStr">
        <is>
          <t>PIX</t>
        </is>
      </c>
      <c r="J689" s="310" t="n"/>
    </row>
    <row r="690">
      <c r="A690" s="236" t="inlineStr">
        <is>
          <t>Agente 10</t>
        </is>
      </c>
      <c r="B690" s="165" t="n">
        <v>1</v>
      </c>
      <c r="C690" s="68" t="n">
        <v>12</v>
      </c>
      <c r="D690" s="68">
        <f>C690*B690</f>
        <v/>
      </c>
      <c r="E690" s="90" t="n"/>
      <c r="F690" s="68">
        <f>E690+D690</f>
        <v/>
      </c>
      <c r="G690" s="69">
        <f>F690</f>
        <v/>
      </c>
      <c r="H690" s="202" t="n">
        <v>45260</v>
      </c>
      <c r="I690" s="273" t="inlineStr">
        <is>
          <t>PIX</t>
        </is>
      </c>
      <c r="J690" s="310" t="n"/>
    </row>
    <row r="691">
      <c r="A691" s="236" t="inlineStr">
        <is>
          <t>A Morte de Si</t>
        </is>
      </c>
      <c r="B691" s="165" t="n">
        <v>1</v>
      </c>
      <c r="C691" s="68" t="n">
        <v>75</v>
      </c>
      <c r="D691" s="68">
        <f>C691*B691</f>
        <v/>
      </c>
      <c r="E691" s="90" t="n"/>
      <c r="F691" s="68">
        <f>E691+D691</f>
        <v/>
      </c>
      <c r="G691" s="69">
        <f>F691</f>
        <v/>
      </c>
      <c r="H691" s="202" t="n">
        <v>45264</v>
      </c>
      <c r="I691" s="273" t="inlineStr">
        <is>
          <t>PIX</t>
        </is>
      </c>
      <c r="J691" s="310" t="n"/>
    </row>
    <row r="692">
      <c r="A692" s="236" t="inlineStr">
        <is>
          <t>A Morte de Si</t>
        </is>
      </c>
      <c r="B692" s="165" t="n">
        <v>1</v>
      </c>
      <c r="C692" s="68" t="n">
        <v>75</v>
      </c>
      <c r="D692" s="68">
        <f>C692*B692</f>
        <v/>
      </c>
      <c r="E692" s="90" t="n"/>
      <c r="F692" s="68">
        <f>E692+D692</f>
        <v/>
      </c>
      <c r="G692" s="69">
        <f>F692</f>
        <v/>
      </c>
      <c r="H692" s="202" t="n">
        <v>45264</v>
      </c>
      <c r="I692" s="273" t="inlineStr">
        <is>
          <t>PIX</t>
        </is>
      </c>
      <c r="J692" s="310" t="n"/>
    </row>
    <row r="693">
      <c r="A693" s="236" t="inlineStr">
        <is>
          <t>A Morte de Si</t>
        </is>
      </c>
      <c r="B693" s="165" t="n">
        <v>1</v>
      </c>
      <c r="C693" s="68" t="n">
        <v>75</v>
      </c>
      <c r="D693" s="68">
        <f>C693*B693</f>
        <v/>
      </c>
      <c r="E693" s="90" t="n">
        <v>15</v>
      </c>
      <c r="F693" s="68">
        <f>E693+D693</f>
        <v/>
      </c>
      <c r="G693" s="69">
        <f>F693</f>
        <v/>
      </c>
      <c r="H693" s="202" t="n">
        <v>45265</v>
      </c>
      <c r="I693" s="273" t="inlineStr">
        <is>
          <t>PIX</t>
        </is>
      </c>
      <c r="J693" s="310" t="n"/>
    </row>
    <row r="694">
      <c r="A694" s="236" t="inlineStr">
        <is>
          <t>A Morte de Si</t>
        </is>
      </c>
      <c r="B694" s="165" t="n">
        <v>1</v>
      </c>
      <c r="C694" s="68" t="n">
        <v>75</v>
      </c>
      <c r="D694" s="68">
        <f>C694*B694</f>
        <v/>
      </c>
      <c r="E694" s="90" t="n">
        <v>15</v>
      </c>
      <c r="F694" s="68">
        <f>E694+D694</f>
        <v/>
      </c>
      <c r="G694" s="69">
        <f>F694</f>
        <v/>
      </c>
      <c r="H694" s="202" t="n">
        <v>45265</v>
      </c>
      <c r="I694" s="273" t="inlineStr">
        <is>
          <t>PIX</t>
        </is>
      </c>
      <c r="J694" s="310" t="n"/>
    </row>
    <row r="695">
      <c r="A695" s="236" t="inlineStr">
        <is>
          <t>A Morte de Si</t>
        </is>
      </c>
      <c r="B695" s="165" t="n">
        <v>1</v>
      </c>
      <c r="C695" s="68" t="n">
        <v>75</v>
      </c>
      <c r="D695" s="68">
        <f>C695*B695</f>
        <v/>
      </c>
      <c r="E695" s="90" t="n">
        <v>15</v>
      </c>
      <c r="F695" s="68">
        <f>E695+D695</f>
        <v/>
      </c>
      <c r="G695" s="69">
        <f>F695</f>
        <v/>
      </c>
      <c r="H695" s="202" t="n">
        <v>45265</v>
      </c>
      <c r="I695" s="273" t="inlineStr">
        <is>
          <t>PIX</t>
        </is>
      </c>
      <c r="J695" s="310" t="n"/>
    </row>
    <row r="696">
      <c r="A696" s="236" t="inlineStr">
        <is>
          <t>A Morte de Si</t>
        </is>
      </c>
      <c r="B696" s="306" t="n">
        <v>1</v>
      </c>
      <c r="C696" s="68" t="n"/>
      <c r="D696" s="68">
        <f>C696*B696</f>
        <v/>
      </c>
      <c r="E696" s="90" t="n"/>
      <c r="F696" s="68">
        <f>E696+D696</f>
        <v/>
      </c>
      <c r="G696" s="69">
        <f>F696</f>
        <v/>
      </c>
      <c r="H696" s="202" t="n">
        <v>45265</v>
      </c>
      <c r="I696" s="273" t="n"/>
      <c r="J696" s="311" t="n"/>
    </row>
    <row r="697">
      <c r="A697" s="236" t="inlineStr">
        <is>
          <t>A Morte de Si</t>
        </is>
      </c>
      <c r="B697" s="165" t="n">
        <v>1</v>
      </c>
      <c r="C697" s="68" t="n">
        <v>75</v>
      </c>
      <c r="D697" s="68">
        <f>C697*B697</f>
        <v/>
      </c>
      <c r="E697" s="90" t="n"/>
      <c r="F697" s="68">
        <f>E697+D697</f>
        <v/>
      </c>
      <c r="G697" s="69">
        <f>F697</f>
        <v/>
      </c>
      <c r="H697" s="202" t="n">
        <v>45266</v>
      </c>
      <c r="I697" s="273" t="inlineStr">
        <is>
          <t>PIX</t>
        </is>
      </c>
      <c r="J697" s="310" t="n"/>
    </row>
    <row r="698">
      <c r="A698" s="236" t="inlineStr">
        <is>
          <t>A Morte de Si</t>
        </is>
      </c>
      <c r="B698" s="165" t="n">
        <v>1</v>
      </c>
      <c r="C698" s="68" t="n">
        <v>75</v>
      </c>
      <c r="D698" s="68">
        <f>C698*B698</f>
        <v/>
      </c>
      <c r="E698" s="90" t="n"/>
      <c r="F698" s="68">
        <f>E698+D698</f>
        <v/>
      </c>
      <c r="G698" s="69">
        <f>F698</f>
        <v/>
      </c>
      <c r="H698" s="202" t="n">
        <v>45267</v>
      </c>
      <c r="I698" s="273" t="inlineStr">
        <is>
          <t>PIX</t>
        </is>
      </c>
      <c r="J698" s="310" t="n"/>
    </row>
    <row r="699">
      <c r="A699" s="236" t="inlineStr">
        <is>
          <t>A Morte de Si</t>
        </is>
      </c>
      <c r="B699" s="165" t="n">
        <v>1</v>
      </c>
      <c r="C699" s="68" t="n">
        <v>75</v>
      </c>
      <c r="D699" s="68">
        <f>C699*B699</f>
        <v/>
      </c>
      <c r="E699" s="90" t="n"/>
      <c r="F699" s="68">
        <f>E699+D699</f>
        <v/>
      </c>
      <c r="G699" s="69">
        <f>F699</f>
        <v/>
      </c>
      <c r="H699" s="202" t="n">
        <v>45267</v>
      </c>
      <c r="I699" s="273" t="inlineStr">
        <is>
          <t>PIX</t>
        </is>
      </c>
      <c r="J699" s="310" t="n"/>
    </row>
    <row r="700">
      <c r="A700" s="236" t="inlineStr">
        <is>
          <t>A Morte de Si</t>
        </is>
      </c>
      <c r="B700" s="165" t="n">
        <v>1</v>
      </c>
      <c r="C700" s="68" t="n">
        <v>75</v>
      </c>
      <c r="D700" s="68">
        <f>C700*B700</f>
        <v/>
      </c>
      <c r="E700" s="90" t="n"/>
      <c r="F700" s="68">
        <f>E700+D700</f>
        <v/>
      </c>
      <c r="G700" s="69">
        <f>F700</f>
        <v/>
      </c>
      <c r="H700" s="202" t="n">
        <v>45273</v>
      </c>
      <c r="I700" s="273" t="inlineStr">
        <is>
          <t>PIX</t>
        </is>
      </c>
      <c r="J700" s="310" t="n"/>
    </row>
    <row r="701">
      <c r="A701" s="236" t="inlineStr">
        <is>
          <t>Foraclusão e Suas Dores</t>
        </is>
      </c>
      <c r="B701" s="165" t="n">
        <v>1</v>
      </c>
      <c r="C701" s="68" t="n">
        <v>77</v>
      </c>
      <c r="D701" s="68">
        <f>C701*B701</f>
        <v/>
      </c>
      <c r="E701" s="90" t="n"/>
      <c r="F701" s="68">
        <f>E701+D701</f>
        <v/>
      </c>
      <c r="G701" s="69">
        <f>F701</f>
        <v/>
      </c>
      <c r="H701" s="202" t="n">
        <v>45273</v>
      </c>
      <c r="I701" s="273" t="inlineStr">
        <is>
          <t>PIX</t>
        </is>
      </c>
      <c r="J701" s="310" t="n"/>
    </row>
    <row r="702">
      <c r="A702" s="236" t="inlineStr">
        <is>
          <t>Foraclusão e Suas Dores</t>
        </is>
      </c>
      <c r="B702" s="165" t="n">
        <v>1</v>
      </c>
      <c r="C702" s="68" t="n">
        <v>77</v>
      </c>
      <c r="D702" s="68">
        <f>C702*B702</f>
        <v/>
      </c>
      <c r="E702" s="90" t="n"/>
      <c r="F702" s="68">
        <f>E702+D702</f>
        <v/>
      </c>
      <c r="G702" s="69">
        <f>F702</f>
        <v/>
      </c>
      <c r="H702" s="202" t="n">
        <v>45273</v>
      </c>
      <c r="I702" s="312" t="inlineStr">
        <is>
          <t>Depósito</t>
        </is>
      </c>
      <c r="J702" s="310" t="n"/>
    </row>
    <row r="703">
      <c r="A703" s="236" t="inlineStr">
        <is>
          <t>Foraclusão e Suas Dores</t>
        </is>
      </c>
      <c r="B703" s="165" t="n">
        <v>1</v>
      </c>
      <c r="C703" s="68" t="n">
        <v>77</v>
      </c>
      <c r="D703" s="68">
        <f>C703*B703</f>
        <v/>
      </c>
      <c r="E703" s="90" t="n"/>
      <c r="F703" s="68">
        <f>E703+D703</f>
        <v/>
      </c>
      <c r="G703" s="69">
        <f>F703</f>
        <v/>
      </c>
      <c r="H703" s="202" t="n">
        <v>45273</v>
      </c>
      <c r="I703" s="273" t="inlineStr">
        <is>
          <t>PIX</t>
        </is>
      </c>
      <c r="J703" s="310" t="n"/>
    </row>
    <row r="704">
      <c r="A704" s="236" t="inlineStr">
        <is>
          <t>Foraclusão e Suas Dores</t>
        </is>
      </c>
      <c r="B704" s="165" t="n">
        <v>1</v>
      </c>
      <c r="C704" s="68" t="n">
        <v>77</v>
      </c>
      <c r="D704" s="68">
        <f>C704*B704</f>
        <v/>
      </c>
      <c r="E704" s="90" t="n"/>
      <c r="F704" s="68">
        <f>E704+D704</f>
        <v/>
      </c>
      <c r="G704" s="69">
        <f>F704</f>
        <v/>
      </c>
      <c r="H704" s="202" t="n">
        <v>45273</v>
      </c>
      <c r="I704" s="273" t="inlineStr">
        <is>
          <t>PIX</t>
        </is>
      </c>
      <c r="J704" s="310" t="n"/>
    </row>
    <row r="705">
      <c r="A705" s="236" t="inlineStr">
        <is>
          <t>Foraclusão e Suas Dores</t>
        </is>
      </c>
      <c r="B705" s="165" t="n">
        <v>1</v>
      </c>
      <c r="C705" s="68" t="n">
        <v>77</v>
      </c>
      <c r="D705" s="68">
        <f>C705*B705</f>
        <v/>
      </c>
      <c r="E705" s="90" t="n"/>
      <c r="F705" s="68">
        <f>E705+D705</f>
        <v/>
      </c>
      <c r="G705" s="69">
        <f>F705</f>
        <v/>
      </c>
      <c r="H705" s="202" t="n">
        <v>45273</v>
      </c>
      <c r="I705" s="273" t="inlineStr">
        <is>
          <t>PIX</t>
        </is>
      </c>
      <c r="J705" s="310" t="n"/>
    </row>
    <row r="706">
      <c r="A706" s="236" t="inlineStr">
        <is>
          <t>Philip Dick con Jacques Lacan</t>
        </is>
      </c>
      <c r="B706" s="165" t="n">
        <v>1</v>
      </c>
      <c r="C706" s="68" t="n">
        <v>75</v>
      </c>
      <c r="D706" s="68">
        <f>C706*B706</f>
        <v/>
      </c>
      <c r="E706" s="90" t="n"/>
      <c r="F706" s="68">
        <f>E706+D706</f>
        <v/>
      </c>
      <c r="G706" s="69">
        <f>F706</f>
        <v/>
      </c>
      <c r="H706" s="202" t="n">
        <v>45274</v>
      </c>
      <c r="I706" s="273" t="inlineStr">
        <is>
          <t>PIX</t>
        </is>
      </c>
      <c r="J706" s="310" t="n"/>
    </row>
    <row r="707">
      <c r="A707" s="236" t="n"/>
      <c r="B707" s="165" t="n"/>
      <c r="C707" s="68" t="n"/>
      <c r="D707" s="68">
        <f>C707*B707</f>
        <v/>
      </c>
      <c r="E707" s="90" t="n"/>
      <c r="F707" s="68">
        <f>E707+D707</f>
        <v/>
      </c>
      <c r="G707" s="69">
        <f>F707</f>
        <v/>
      </c>
      <c r="H707" s="202" t="n"/>
      <c r="I707" s="273" t="inlineStr">
        <is>
          <t>PIX</t>
        </is>
      </c>
      <c r="J707" s="310" t="n"/>
    </row>
    <row r="708">
      <c r="A708" s="236" t="n"/>
      <c r="B708" s="165" t="n"/>
      <c r="C708" s="68" t="n"/>
      <c r="D708" s="68">
        <f>C708*B708</f>
        <v/>
      </c>
      <c r="E708" s="90" t="n"/>
      <c r="F708" s="68">
        <f>E708+D708</f>
        <v/>
      </c>
      <c r="G708" s="69">
        <f>F708</f>
        <v/>
      </c>
      <c r="H708" s="202" t="n"/>
      <c r="I708" s="273" t="inlineStr">
        <is>
          <t>PIX</t>
        </is>
      </c>
      <c r="J708" s="310" t="n"/>
    </row>
    <row r="709">
      <c r="A709" s="236" t="n"/>
      <c r="B709" s="165" t="n"/>
      <c r="C709" s="68" t="n"/>
      <c r="D709" s="68">
        <f>C709*B709</f>
        <v/>
      </c>
      <c r="E709" s="90" t="n"/>
      <c r="F709" s="68">
        <f>E709+D709</f>
        <v/>
      </c>
      <c r="G709" s="69">
        <f>F709</f>
        <v/>
      </c>
      <c r="H709" s="202" t="n"/>
      <c r="I709" s="273" t="n"/>
      <c r="J709" s="310" t="n"/>
    </row>
    <row r="710">
      <c r="A710" s="236" t="n"/>
      <c r="B710" s="165" t="n"/>
      <c r="C710" s="68" t="n"/>
      <c r="D710" s="68">
        <f>C710*B710</f>
        <v/>
      </c>
      <c r="E710" s="90" t="n"/>
      <c r="F710" s="68">
        <f>E710+D710</f>
        <v/>
      </c>
      <c r="G710" s="69">
        <f>F710</f>
        <v/>
      </c>
      <c r="H710" s="202" t="n"/>
      <c r="I710" s="273" t="n"/>
      <c r="J710" s="310" t="n"/>
    </row>
    <row r="711">
      <c r="A711" s="236" t="n"/>
      <c r="B711" s="165" t="n"/>
      <c r="C711" s="68" t="n"/>
      <c r="D711" s="68">
        <f>C711*B711</f>
        <v/>
      </c>
      <c r="E711" s="90" t="n"/>
      <c r="F711" s="68">
        <f>E711+D711</f>
        <v/>
      </c>
      <c r="G711" s="69">
        <f>F711</f>
        <v/>
      </c>
      <c r="H711" s="202" t="n"/>
      <c r="I711" s="273" t="n"/>
      <c r="J711" s="310" t="n"/>
    </row>
    <row r="712">
      <c r="A712" s="236" t="n"/>
      <c r="B712" s="165" t="n"/>
      <c r="C712" s="68" t="n"/>
      <c r="D712" s="68">
        <f>C712*B712</f>
        <v/>
      </c>
      <c r="E712" s="90" t="n"/>
      <c r="F712" s="68">
        <f>E712+D712</f>
        <v/>
      </c>
      <c r="G712" s="69">
        <f>F712</f>
        <v/>
      </c>
      <c r="H712" s="202" t="n"/>
      <c r="I712" s="273" t="n"/>
      <c r="J712" s="310" t="n"/>
    </row>
    <row r="713">
      <c r="A713" s="236" t="n"/>
      <c r="B713" s="165" t="n"/>
      <c r="C713" s="68" t="n"/>
      <c r="D713" s="68">
        <f>C713*B713</f>
        <v/>
      </c>
      <c r="E713" s="90" t="n"/>
      <c r="F713" s="68">
        <f>E713+D713</f>
        <v/>
      </c>
      <c r="G713" s="69">
        <f>F713</f>
        <v/>
      </c>
      <c r="H713" s="202" t="n"/>
      <c r="I713" s="273" t="n"/>
      <c r="J713" s="310" t="n"/>
    </row>
    <row r="714">
      <c r="A714" s="236" t="n"/>
      <c r="B714" s="165" t="n"/>
      <c r="C714" s="68" t="n">
        <v>0</v>
      </c>
      <c r="D714" s="68">
        <f>C714*B714</f>
        <v/>
      </c>
      <c r="E714" s="76" t="n"/>
      <c r="F714" s="68">
        <f>E714+D714</f>
        <v/>
      </c>
      <c r="G714" s="69">
        <f>F714</f>
        <v/>
      </c>
      <c r="H714" s="195" t="n"/>
      <c r="I714" s="236" t="n"/>
      <c r="J714" s="236" t="n"/>
    </row>
    <row r="715">
      <c r="B715" s="313">
        <f>SUM(B4:B714)</f>
        <v/>
      </c>
      <c r="C715" s="314">
        <f>SUM(C4:C714)</f>
        <v/>
      </c>
      <c r="D715" s="314">
        <f>SUM(D4:D714)</f>
        <v/>
      </c>
      <c r="E715" s="314">
        <f>SUM(E4:E714)</f>
        <v/>
      </c>
      <c r="F715" s="314">
        <f>SUM(F4:F714)</f>
        <v/>
      </c>
      <c r="G715" s="314">
        <f>SUM(G4:G714)</f>
        <v/>
      </c>
      <c r="H715" s="186" t="n"/>
    </row>
  </sheetData>
  <autoFilter ref="$A$3:$O$715"/>
  <mergeCells count="805">
    <mergeCell ref="H361:H363"/>
    <mergeCell ref="F407:F408"/>
    <mergeCell ref="I197:I198"/>
    <mergeCell ref="K88:K89"/>
    <mergeCell ref="K63:K64"/>
    <mergeCell ref="H407:H408"/>
    <mergeCell ref="F394:F395"/>
    <mergeCell ref="E88:E89"/>
    <mergeCell ref="H394:H395"/>
    <mergeCell ref="K268:K270"/>
    <mergeCell ref="E356:E360"/>
    <mergeCell ref="E525:E528"/>
    <mergeCell ref="E268:E270"/>
    <mergeCell ref="G356:G360"/>
    <mergeCell ref="H623:H624"/>
    <mergeCell ref="G464:G467"/>
    <mergeCell ref="J68:J69"/>
    <mergeCell ref="J166:J167"/>
    <mergeCell ref="F216:F218"/>
    <mergeCell ref="G58:G59"/>
    <mergeCell ref="H216:H218"/>
    <mergeCell ref="I58:I59"/>
    <mergeCell ref="F13:F14"/>
    <mergeCell ref="K58:K59"/>
    <mergeCell ref="H13:H14"/>
    <mergeCell ref="J453:J454"/>
    <mergeCell ref="I592:I593"/>
    <mergeCell ref="J193:J196"/>
    <mergeCell ref="F158:F160"/>
    <mergeCell ref="I187:I188"/>
    <mergeCell ref="E394:E395"/>
    <mergeCell ref="F647:F648"/>
    <mergeCell ref="H647:H648"/>
    <mergeCell ref="E425:E426"/>
    <mergeCell ref="J80:J82"/>
    <mergeCell ref="J542:J543"/>
    <mergeCell ref="E609:E613"/>
    <mergeCell ref="F176:F179"/>
    <mergeCell ref="G602:G604"/>
    <mergeCell ref="E515:E518"/>
    <mergeCell ref="I602:I604"/>
    <mergeCell ref="G136:G137"/>
    <mergeCell ref="I136:I137"/>
    <mergeCell ref="G13:G14"/>
    <mergeCell ref="G508:G511"/>
    <mergeCell ref="H310:H311"/>
    <mergeCell ref="I508:I511"/>
    <mergeCell ref="J310:J311"/>
    <mergeCell ref="I464:I467"/>
    <mergeCell ref="I134:I135"/>
    <mergeCell ref="G436:G437"/>
    <mergeCell ref="K134:K135"/>
    <mergeCell ref="I436:I437"/>
    <mergeCell ref="H619:H620"/>
    <mergeCell ref="F534:F538"/>
    <mergeCell ref="I503:I504"/>
    <mergeCell ref="H534:H538"/>
    <mergeCell ref="F577:F578"/>
    <mergeCell ref="H577:H578"/>
    <mergeCell ref="E572:E574"/>
    <mergeCell ref="J143:J144"/>
    <mergeCell ref="J384:J385"/>
    <mergeCell ref="J388:J393"/>
    <mergeCell ref="I596:I601"/>
    <mergeCell ref="E475:E478"/>
    <mergeCell ref="I80:I82"/>
    <mergeCell ref="K80:K82"/>
    <mergeCell ref="I542:I543"/>
    <mergeCell ref="E605:E606"/>
    <mergeCell ref="H641:H642"/>
    <mergeCell ref="I48:I49"/>
    <mergeCell ref="H326:H327"/>
    <mergeCell ref="K48:K49"/>
    <mergeCell ref="G161:G163"/>
    <mergeCell ref="J326:J327"/>
    <mergeCell ref="H174:H175"/>
    <mergeCell ref="E403:E405"/>
    <mergeCell ref="H498:H501"/>
    <mergeCell ref="J174:J175"/>
    <mergeCell ref="J498:J501"/>
    <mergeCell ref="H669:H672"/>
    <mergeCell ref="H529:H533"/>
    <mergeCell ref="J669:J672"/>
    <mergeCell ref="I569:I570"/>
    <mergeCell ref="J529:J533"/>
    <mergeCell ref="E607:E608"/>
    <mergeCell ref="E432:E434"/>
    <mergeCell ref="K187:K188"/>
    <mergeCell ref="F88:F89"/>
    <mergeCell ref="J486:J488"/>
    <mergeCell ref="E534:E538"/>
    <mergeCell ref="K212:K215"/>
    <mergeCell ref="I251:I252"/>
    <mergeCell ref="I189:I190"/>
    <mergeCell ref="K251:K252"/>
    <mergeCell ref="F356:F360"/>
    <mergeCell ref="K189:K190"/>
    <mergeCell ref="I479:I483"/>
    <mergeCell ref="F268:F270"/>
    <mergeCell ref="I388:I393"/>
    <mergeCell ref="G126:G127"/>
    <mergeCell ref="I126:I127"/>
    <mergeCell ref="K126:K127"/>
    <mergeCell ref="H56:H57"/>
    <mergeCell ref="F161:F163"/>
    <mergeCell ref="G498:G501"/>
    <mergeCell ref="I203:I204"/>
    <mergeCell ref="I498:I501"/>
    <mergeCell ref="H31:H32"/>
    <mergeCell ref="H58:H59"/>
    <mergeCell ref="E579:E582"/>
    <mergeCell ref="G579:G582"/>
    <mergeCell ref="H614:H615"/>
    <mergeCell ref="J614:J615"/>
    <mergeCell ref="K149:K152"/>
    <mergeCell ref="J95:J96"/>
    <mergeCell ref="H644:H645"/>
    <mergeCell ref="E149:E152"/>
    <mergeCell ref="H187:H188"/>
    <mergeCell ref="H629:H630"/>
    <mergeCell ref="J187:J188"/>
    <mergeCell ref="J120:J122"/>
    <mergeCell ref="E384:E385"/>
    <mergeCell ref="H616:H617"/>
    <mergeCell ref="G384:G385"/>
    <mergeCell ref="J545:J546"/>
    <mergeCell ref="J616:J617"/>
    <mergeCell ref="J212:J215"/>
    <mergeCell ref="F519:F522"/>
    <mergeCell ref="H189:H190"/>
    <mergeCell ref="J251:J252"/>
    <mergeCell ref="J189:J190"/>
    <mergeCell ref="J245:J247"/>
    <mergeCell ref="F609:F613"/>
    <mergeCell ref="F506:F507"/>
    <mergeCell ref="I208:I209"/>
    <mergeCell ref="E442:E444"/>
    <mergeCell ref="E547:E550"/>
    <mergeCell ref="F579:F582"/>
    <mergeCell ref="I310:I311"/>
    <mergeCell ref="K68:K69"/>
    <mergeCell ref="H134:H135"/>
    <mergeCell ref="F436:F437"/>
    <mergeCell ref="H464:H467"/>
    <mergeCell ref="J464:J467"/>
    <mergeCell ref="H436:H437"/>
    <mergeCell ref="J436:J437"/>
    <mergeCell ref="E440:E441"/>
    <mergeCell ref="F479:F483"/>
    <mergeCell ref="E43:E44"/>
    <mergeCell ref="G43:G44"/>
    <mergeCell ref="K203:K204"/>
    <mergeCell ref="G534:G538"/>
    <mergeCell ref="E577:E578"/>
    <mergeCell ref="I534:I538"/>
    <mergeCell ref="J304:J305"/>
    <mergeCell ref="H80:H82"/>
    <mergeCell ref="E143:E144"/>
    <mergeCell ref="G641:G642"/>
    <mergeCell ref="F605:F606"/>
    <mergeCell ref="G326:G327"/>
    <mergeCell ref="G396:G401"/>
    <mergeCell ref="E506:E507"/>
    <mergeCell ref="I326:I327"/>
    <mergeCell ref="I396:I401"/>
    <mergeCell ref="G174:G175"/>
    <mergeCell ref="J629:J630"/>
    <mergeCell ref="G407:G408"/>
    <mergeCell ref="I529:I533"/>
    <mergeCell ref="F607:F608"/>
    <mergeCell ref="G335:G338"/>
    <mergeCell ref="G545:G546"/>
    <mergeCell ref="F373:F374"/>
    <mergeCell ref="G101:G103"/>
    <mergeCell ref="I101:I103"/>
    <mergeCell ref="G117:G119"/>
    <mergeCell ref="H563:H567"/>
    <mergeCell ref="H519:H522"/>
    <mergeCell ref="K283:K284"/>
    <mergeCell ref="H388:H393"/>
    <mergeCell ref="J525:J528"/>
    <mergeCell ref="F197:F198"/>
    <mergeCell ref="H126:H127"/>
    <mergeCell ref="E136:E137"/>
    <mergeCell ref="H197:H198"/>
    <mergeCell ref="J126:J127"/>
    <mergeCell ref="H495:H496"/>
    <mergeCell ref="E161:E163"/>
    <mergeCell ref="J495:J496"/>
    <mergeCell ref="G31:G32"/>
    <mergeCell ref="J349:J352"/>
    <mergeCell ref="J632:J633"/>
    <mergeCell ref="E436:E437"/>
    <mergeCell ref="G145:G146"/>
    <mergeCell ref="F84:F85"/>
    <mergeCell ref="I145:I146"/>
    <mergeCell ref="J619:J620"/>
    <mergeCell ref="E623:E624"/>
    <mergeCell ref="I614:I615"/>
    <mergeCell ref="G623:G624"/>
    <mergeCell ref="I95:I96"/>
    <mergeCell ref="J425:J426"/>
    <mergeCell ref="I539:I541"/>
    <mergeCell ref="K120:K122"/>
    <mergeCell ref="F261:F263"/>
    <mergeCell ref="F384:F385"/>
    <mergeCell ref="F117:F119"/>
    <mergeCell ref="F584:F585"/>
    <mergeCell ref="H584:H585"/>
    <mergeCell ref="I616:I617"/>
    <mergeCell ref="I212:I215"/>
    <mergeCell ref="J515:J518"/>
    <mergeCell ref="G519:G522"/>
    <mergeCell ref="F602:F604"/>
    <mergeCell ref="G189:G190"/>
    <mergeCell ref="H602:H604"/>
    <mergeCell ref="I519:I522"/>
    <mergeCell ref="F592:F593"/>
    <mergeCell ref="J602:J604"/>
    <mergeCell ref="I245:I247"/>
    <mergeCell ref="E647:E648"/>
    <mergeCell ref="E276:E277"/>
    <mergeCell ref="H635:H636"/>
    <mergeCell ref="J635:J636"/>
    <mergeCell ref="F523:F524"/>
    <mergeCell ref="H523:H524"/>
    <mergeCell ref="H208:H209"/>
    <mergeCell ref="F31:F32"/>
    <mergeCell ref="J208:J209"/>
    <mergeCell ref="J563:J567"/>
    <mergeCell ref="E641:E642"/>
    <mergeCell ref="J109:J110"/>
    <mergeCell ref="F442:F444"/>
    <mergeCell ref="H145:H146"/>
    <mergeCell ref="J145:J146"/>
    <mergeCell ref="F226:F227"/>
    <mergeCell ref="E479:E483"/>
    <mergeCell ref="G479:G483"/>
    <mergeCell ref="E273:E274"/>
    <mergeCell ref="J203:J204"/>
    <mergeCell ref="G584:G585"/>
    <mergeCell ref="G273:G274"/>
    <mergeCell ref="I31:I32"/>
    <mergeCell ref="J508:J511"/>
    <mergeCell ref="I304:I305"/>
    <mergeCell ref="K304:K305"/>
    <mergeCell ref="F63:F64"/>
    <mergeCell ref="H63:H64"/>
    <mergeCell ref="F641:F642"/>
    <mergeCell ref="K95:K96"/>
    <mergeCell ref="F396:F401"/>
    <mergeCell ref="H596:H601"/>
    <mergeCell ref="H396:H401"/>
    <mergeCell ref="I629:I630"/>
    <mergeCell ref="J596:J601"/>
    <mergeCell ref="H503:H504"/>
    <mergeCell ref="F335:F338"/>
    <mergeCell ref="H335:H338"/>
    <mergeCell ref="G647:G648"/>
    <mergeCell ref="K364:K365"/>
    <mergeCell ref="I168:I170"/>
    <mergeCell ref="E373:E374"/>
    <mergeCell ref="H101:H103"/>
    <mergeCell ref="E226:E227"/>
    <mergeCell ref="A2:O2"/>
    <mergeCell ref="E364:E365"/>
    <mergeCell ref="G420:G422"/>
    <mergeCell ref="E329:E332"/>
    <mergeCell ref="G669:G672"/>
    <mergeCell ref="G329:G332"/>
    <mergeCell ref="E428:E429"/>
    <mergeCell ref="I255:I257"/>
    <mergeCell ref="G428:G429"/>
    <mergeCell ref="K255:K257"/>
    <mergeCell ref="I120:I122"/>
    <mergeCell ref="H264:H265"/>
    <mergeCell ref="E197:E198"/>
    <mergeCell ref="J650:J653"/>
    <mergeCell ref="G63:G64"/>
    <mergeCell ref="G197:G198"/>
    <mergeCell ref="J264:J265"/>
    <mergeCell ref="G495:G496"/>
    <mergeCell ref="I584:I585"/>
    <mergeCell ref="I349:I352"/>
    <mergeCell ref="I461:I462"/>
    <mergeCell ref="I559:I560"/>
    <mergeCell ref="H587:H588"/>
    <mergeCell ref="I619:I620"/>
    <mergeCell ref="J587:J588"/>
    <mergeCell ref="F623:F624"/>
    <mergeCell ref="F166:F167"/>
    <mergeCell ref="H95:H96"/>
    <mergeCell ref="H166:H167"/>
    <mergeCell ref="H539:H541"/>
    <mergeCell ref="K261:K263"/>
    <mergeCell ref="J539:J541"/>
    <mergeCell ref="K143:K144"/>
    <mergeCell ref="E261:E263"/>
    <mergeCell ref="F420:F422"/>
    <mergeCell ref="H420:H422"/>
    <mergeCell ref="E58:E59"/>
    <mergeCell ref="H290:H291"/>
    <mergeCell ref="J48:J49"/>
    <mergeCell ref="J290:J291"/>
    <mergeCell ref="F453:F454"/>
    <mergeCell ref="E592:E593"/>
    <mergeCell ref="F193:F196"/>
    <mergeCell ref="J255:J257"/>
    <mergeCell ref="H453:H454"/>
    <mergeCell ref="G592:G593"/>
    <mergeCell ref="J569:J570"/>
    <mergeCell ref="G635:G636"/>
    <mergeCell ref="J547:J550"/>
    <mergeCell ref="I635:I636"/>
    <mergeCell ref="J459:J460"/>
    <mergeCell ref="G523:G524"/>
    <mergeCell ref="J440:J441"/>
    <mergeCell ref="H356:H360"/>
    <mergeCell ref="I563:I567"/>
    <mergeCell ref="J356:J360"/>
    <mergeCell ref="K109:K110"/>
    <mergeCell ref="G587:G588"/>
    <mergeCell ref="I587:I588"/>
    <mergeCell ref="F542:F543"/>
    <mergeCell ref="H542:H543"/>
    <mergeCell ref="K168:K170"/>
    <mergeCell ref="F273:F274"/>
    <mergeCell ref="I632:I633"/>
    <mergeCell ref="H283:H284"/>
    <mergeCell ref="E508:E511"/>
    <mergeCell ref="F239:F240"/>
    <mergeCell ref="E464:E467"/>
    <mergeCell ref="H239:H240"/>
    <mergeCell ref="E134:E135"/>
    <mergeCell ref="J239:J240"/>
    <mergeCell ref="G134:G135"/>
    <mergeCell ref="I63:I64"/>
    <mergeCell ref="J43:J44"/>
    <mergeCell ref="K373:K374"/>
    <mergeCell ref="J577:J578"/>
    <mergeCell ref="E503:E504"/>
    <mergeCell ref="G503:G504"/>
    <mergeCell ref="G208:G209"/>
    <mergeCell ref="G596:G601"/>
    <mergeCell ref="E80:E82"/>
    <mergeCell ref="J641:J642"/>
    <mergeCell ref="K233:K234"/>
    <mergeCell ref="G80:G82"/>
    <mergeCell ref="I469:I470"/>
    <mergeCell ref="J168:J170"/>
    <mergeCell ref="F326:F327"/>
    <mergeCell ref="F364:F365"/>
    <mergeCell ref="J136:J137"/>
    <mergeCell ref="K245:K247"/>
    <mergeCell ref="F174:F175"/>
    <mergeCell ref="K226:K227"/>
    <mergeCell ref="F498:F501"/>
    <mergeCell ref="I523:I524"/>
    <mergeCell ref="F329:F332"/>
    <mergeCell ref="F669:F672"/>
    <mergeCell ref="F529:F533"/>
    <mergeCell ref="E569:E570"/>
    <mergeCell ref="J403:J405"/>
    <mergeCell ref="G569:G570"/>
    <mergeCell ref="F428:F429"/>
    <mergeCell ref="H428:H429"/>
    <mergeCell ref="H193:H196"/>
    <mergeCell ref="H120:H122"/>
    <mergeCell ref="G264:G265"/>
    <mergeCell ref="I650:I653"/>
    <mergeCell ref="I264:I265"/>
    <mergeCell ref="K264:K265"/>
    <mergeCell ref="F486:F488"/>
    <mergeCell ref="H555:H558"/>
    <mergeCell ref="H486:H488"/>
    <mergeCell ref="J555:J558"/>
    <mergeCell ref="H349:H352"/>
    <mergeCell ref="I577:I578"/>
    <mergeCell ref="J461:J462"/>
    <mergeCell ref="J654:J655"/>
    <mergeCell ref="J283:J284"/>
    <mergeCell ref="E388:E393"/>
    <mergeCell ref="E166:E167"/>
    <mergeCell ref="I525:I528"/>
    <mergeCell ref="H469:H470"/>
    <mergeCell ref="J56:J57"/>
    <mergeCell ref="J276:J277"/>
    <mergeCell ref="J512:J513"/>
    <mergeCell ref="E420:E422"/>
    <mergeCell ref="E498:E501"/>
    <mergeCell ref="E669:E672"/>
    <mergeCell ref="G290:G291"/>
    <mergeCell ref="F58:F59"/>
    <mergeCell ref="I290:I291"/>
    <mergeCell ref="I417:I418"/>
    <mergeCell ref="E453:E454"/>
    <mergeCell ref="E193:E196"/>
    <mergeCell ref="G453:G454"/>
    <mergeCell ref="G193:G196"/>
    <mergeCell ref="I411:I413"/>
    <mergeCell ref="I193:I196"/>
    <mergeCell ref="G149:G152"/>
    <mergeCell ref="I149:I152"/>
    <mergeCell ref="F644:F645"/>
    <mergeCell ref="F187:F188"/>
    <mergeCell ref="F545:F546"/>
    <mergeCell ref="H545:H546"/>
    <mergeCell ref="I394:I395"/>
    <mergeCell ref="F212:F215"/>
    <mergeCell ref="H212:H215"/>
    <mergeCell ref="J101:J103"/>
    <mergeCell ref="F189:F190"/>
    <mergeCell ref="I654:I655"/>
    <mergeCell ref="H245:H247"/>
    <mergeCell ref="E542:E543"/>
    <mergeCell ref="G542:G543"/>
    <mergeCell ref="G283:G284"/>
    <mergeCell ref="I495:I496"/>
    <mergeCell ref="E310:E311"/>
    <mergeCell ref="G68:G69"/>
    <mergeCell ref="G239:G240"/>
    <mergeCell ref="G310:G311"/>
    <mergeCell ref="I68:I69"/>
    <mergeCell ref="F134:F135"/>
    <mergeCell ref="I239:I240"/>
    <mergeCell ref="H411:H413"/>
    <mergeCell ref="J411:J413"/>
    <mergeCell ref="F464:F467"/>
    <mergeCell ref="E335:E338"/>
    <mergeCell ref="I43:I44"/>
    <mergeCell ref="G475:G478"/>
    <mergeCell ref="I475:I478"/>
    <mergeCell ref="K43:K44"/>
    <mergeCell ref="G143:G144"/>
    <mergeCell ref="G388:G393"/>
    <mergeCell ref="H233:H234"/>
    <mergeCell ref="I647:I648"/>
    <mergeCell ref="J233:J234"/>
    <mergeCell ref="F80:F82"/>
    <mergeCell ref="J469:J470"/>
    <mergeCell ref="I361:I363"/>
    <mergeCell ref="F48:F49"/>
    <mergeCell ref="E326:E327"/>
    <mergeCell ref="K361:K363"/>
    <mergeCell ref="H48:H49"/>
    <mergeCell ref="E396:E401"/>
    <mergeCell ref="E174:E175"/>
    <mergeCell ref="E529:E533"/>
    <mergeCell ref="E407:E408"/>
    <mergeCell ref="G529:G533"/>
    <mergeCell ref="J88:J89"/>
    <mergeCell ref="H442:H444"/>
    <mergeCell ref="F569:F570"/>
    <mergeCell ref="K193:K196"/>
    <mergeCell ref="F68:F69"/>
    <mergeCell ref="H68:H69"/>
    <mergeCell ref="G425:G426"/>
    <mergeCell ref="H268:H270"/>
    <mergeCell ref="I425:I426"/>
    <mergeCell ref="E101:E103"/>
    <mergeCell ref="J268:J270"/>
    <mergeCell ref="H43:H44"/>
    <mergeCell ref="G486:G488"/>
    <mergeCell ref="I555:I558"/>
    <mergeCell ref="I486:I488"/>
    <mergeCell ref="F563:F567"/>
    <mergeCell ref="I283:I284"/>
    <mergeCell ref="I216:I218"/>
    <mergeCell ref="H479:H483"/>
    <mergeCell ref="K216:K218"/>
    <mergeCell ref="F388:F393"/>
    <mergeCell ref="G233:G234"/>
    <mergeCell ref="F525:F528"/>
    <mergeCell ref="I233:I234"/>
    <mergeCell ref="G469:G470"/>
    <mergeCell ref="I56:I57"/>
    <mergeCell ref="F126:F127"/>
    <mergeCell ref="K56:K57"/>
    <mergeCell ref="G158:G160"/>
    <mergeCell ref="F495:F496"/>
    <mergeCell ref="F203:F204"/>
    <mergeCell ref="H417:H418"/>
    <mergeCell ref="J417:J418"/>
    <mergeCell ref="E614:E615"/>
    <mergeCell ref="F149:F152"/>
    <mergeCell ref="G614:G615"/>
    <mergeCell ref="E95:E96"/>
    <mergeCell ref="H149:H152"/>
    <mergeCell ref="J149:J152"/>
    <mergeCell ref="F425:F426"/>
    <mergeCell ref="H261:H263"/>
    <mergeCell ref="E187:E188"/>
    <mergeCell ref="H425:H426"/>
    <mergeCell ref="J261:J263"/>
    <mergeCell ref="G120:G122"/>
    <mergeCell ref="H609:H613"/>
    <mergeCell ref="E616:E617"/>
    <mergeCell ref="G616:G617"/>
    <mergeCell ref="I176:I179"/>
    <mergeCell ref="G88:G89"/>
    <mergeCell ref="E212:E215"/>
    <mergeCell ref="K176:K179"/>
    <mergeCell ref="G212:G215"/>
    <mergeCell ref="F515:F518"/>
    <mergeCell ref="H515:H518"/>
    <mergeCell ref="E251:E252"/>
    <mergeCell ref="E519:E522"/>
    <mergeCell ref="E189:E190"/>
    <mergeCell ref="G251:G252"/>
    <mergeCell ref="E245:E247"/>
    <mergeCell ref="G245:G247"/>
    <mergeCell ref="G349:G352"/>
    <mergeCell ref="E126:E127"/>
    <mergeCell ref="I432:I434"/>
    <mergeCell ref="G440:G441"/>
    <mergeCell ref="F208:F209"/>
    <mergeCell ref="I440:I441"/>
    <mergeCell ref="J442:J444"/>
    <mergeCell ref="F145:F146"/>
    <mergeCell ref="F310:F311"/>
    <mergeCell ref="F614:F615"/>
    <mergeCell ref="F503:F504"/>
    <mergeCell ref="H525:H528"/>
    <mergeCell ref="H572:H574"/>
    <mergeCell ref="H559:H560"/>
    <mergeCell ref="J572:J574"/>
    <mergeCell ref="J559:J560"/>
    <mergeCell ref="H475:H478"/>
    <mergeCell ref="J475:J478"/>
    <mergeCell ref="H605:H606"/>
    <mergeCell ref="G166:G167"/>
    <mergeCell ref="J605:J606"/>
    <mergeCell ref="E584:E585"/>
    <mergeCell ref="H176:H179"/>
    <mergeCell ref="H203:H204"/>
    <mergeCell ref="E644:E645"/>
    <mergeCell ref="K174:K175"/>
    <mergeCell ref="J607:J608"/>
    <mergeCell ref="G95:G96"/>
    <mergeCell ref="H432:H434"/>
    <mergeCell ref="I158:I160"/>
    <mergeCell ref="J361:J363"/>
    <mergeCell ref="J432:J434"/>
    <mergeCell ref="K158:K160"/>
    <mergeCell ref="F596:F601"/>
    <mergeCell ref="E629:E630"/>
    <mergeCell ref="G629:G630"/>
    <mergeCell ref="J407:J408"/>
    <mergeCell ref="J394:J395"/>
    <mergeCell ref="I88:I89"/>
    <mergeCell ref="I356:I360"/>
    <mergeCell ref="G268:G270"/>
    <mergeCell ref="I364:I365"/>
    <mergeCell ref="K356:K360"/>
    <mergeCell ref="I268:I270"/>
    <mergeCell ref="G525:G528"/>
    <mergeCell ref="F290:F291"/>
    <mergeCell ref="F101:F103"/>
    <mergeCell ref="J609:J613"/>
    <mergeCell ref="I428:I429"/>
    <mergeCell ref="I161:I163"/>
    <mergeCell ref="K161:K163"/>
    <mergeCell ref="J216:J218"/>
    <mergeCell ref="F304:F305"/>
    <mergeCell ref="J13:J14"/>
    <mergeCell ref="E459:E460"/>
    <mergeCell ref="J84:J85"/>
    <mergeCell ref="H579:H582"/>
    <mergeCell ref="G459:G460"/>
    <mergeCell ref="J579:J582"/>
    <mergeCell ref="H158:H160"/>
    <mergeCell ref="E495:E496"/>
    <mergeCell ref="E596:E601"/>
    <mergeCell ref="J158:J160"/>
    <mergeCell ref="H654:H655"/>
    <mergeCell ref="E349:E352"/>
    <mergeCell ref="E632:E633"/>
    <mergeCell ref="G461:G462"/>
    <mergeCell ref="E559:E560"/>
    <mergeCell ref="E619:E620"/>
    <mergeCell ref="G559:G560"/>
    <mergeCell ref="F587:F588"/>
    <mergeCell ref="G619:G620"/>
    <mergeCell ref="H364:H365"/>
    <mergeCell ref="G261:G263"/>
    <mergeCell ref="F539:F541"/>
    <mergeCell ref="I261:I263"/>
    <mergeCell ref="F120:F122"/>
    <mergeCell ref="I143:I144"/>
    <mergeCell ref="J420:J422"/>
    <mergeCell ref="G609:G613"/>
    <mergeCell ref="I609:I613"/>
    <mergeCell ref="F616:F617"/>
    <mergeCell ref="I506:I507"/>
    <mergeCell ref="G515:G518"/>
    <mergeCell ref="I515:I518"/>
    <mergeCell ref="E602:E604"/>
    <mergeCell ref="K136:K137"/>
    <mergeCell ref="F255:F257"/>
    <mergeCell ref="I13:I14"/>
    <mergeCell ref="E635:E636"/>
    <mergeCell ref="F547:F550"/>
    <mergeCell ref="K13:K14"/>
    <mergeCell ref="F459:F460"/>
    <mergeCell ref="H547:H550"/>
    <mergeCell ref="H569:H570"/>
    <mergeCell ref="I579:I582"/>
    <mergeCell ref="F440:F441"/>
    <mergeCell ref="E208:E209"/>
    <mergeCell ref="H440:H441"/>
    <mergeCell ref="E563:E567"/>
    <mergeCell ref="E109:E110"/>
    <mergeCell ref="G563:G567"/>
    <mergeCell ref="G109:G110"/>
    <mergeCell ref="J534:J538"/>
    <mergeCell ref="I109:I110"/>
    <mergeCell ref="E145:E146"/>
    <mergeCell ref="E587:E588"/>
    <mergeCell ref="I545:I546"/>
    <mergeCell ref="G572:G574"/>
    <mergeCell ref="E539:E541"/>
    <mergeCell ref="F143:F144"/>
    <mergeCell ref="I459:I460"/>
    <mergeCell ref="H143:H144"/>
    <mergeCell ref="G605:G606"/>
    <mergeCell ref="E203:E204"/>
    <mergeCell ref="G216:G218"/>
    <mergeCell ref="I605:I606"/>
    <mergeCell ref="H506:H507"/>
    <mergeCell ref="G403:G405"/>
    <mergeCell ref="J506:J507"/>
    <mergeCell ref="E48:E49"/>
    <mergeCell ref="I403:I405"/>
    <mergeCell ref="G632:G633"/>
    <mergeCell ref="G48:G49"/>
    <mergeCell ref="G607:G608"/>
    <mergeCell ref="I607:I608"/>
    <mergeCell ref="E63:E64"/>
    <mergeCell ref="F95:F96"/>
    <mergeCell ref="J335:J338"/>
    <mergeCell ref="G432:G434"/>
    <mergeCell ref="F276:F277"/>
    <mergeCell ref="F635:F636"/>
    <mergeCell ref="F629:F630"/>
    <mergeCell ref="G373:G374"/>
    <mergeCell ref="I373:I374"/>
    <mergeCell ref="J176:J179"/>
    <mergeCell ref="H88:H89"/>
    <mergeCell ref="G187:G188"/>
    <mergeCell ref="K208:K209"/>
    <mergeCell ref="F168:F170"/>
    <mergeCell ref="H168:H170"/>
    <mergeCell ref="F136:F137"/>
    <mergeCell ref="H136:H137"/>
    <mergeCell ref="E523:E524"/>
    <mergeCell ref="K197:K198"/>
    <mergeCell ref="I226:I227"/>
    <mergeCell ref="H161:H163"/>
    <mergeCell ref="J428:J429"/>
    <mergeCell ref="J161:J163"/>
    <mergeCell ref="H273:H274"/>
    <mergeCell ref="J31:J32"/>
    <mergeCell ref="H255:H257"/>
    <mergeCell ref="G84:G85"/>
    <mergeCell ref="E264:E265"/>
    <mergeCell ref="E650:E653"/>
    <mergeCell ref="I84:I85"/>
    <mergeCell ref="G650:G653"/>
    <mergeCell ref="L145:L146"/>
    <mergeCell ref="I572:I574"/>
    <mergeCell ref="J623:J624"/>
    <mergeCell ref="F555:F558"/>
    <mergeCell ref="F349:F352"/>
    <mergeCell ref="F461:F462"/>
    <mergeCell ref="I384:I385"/>
    <mergeCell ref="I117:I119"/>
    <mergeCell ref="F283:F284"/>
    <mergeCell ref="H461:H462"/>
    <mergeCell ref="F619:F620"/>
    <mergeCell ref="J519:J522"/>
    <mergeCell ref="G539:G541"/>
    <mergeCell ref="H276:H277"/>
    <mergeCell ref="F512:F513"/>
    <mergeCell ref="J647:J648"/>
    <mergeCell ref="F245:F247"/>
    <mergeCell ref="H512:H513"/>
    <mergeCell ref="K290:K291"/>
    <mergeCell ref="E290:E291"/>
    <mergeCell ref="E417:E418"/>
    <mergeCell ref="E255:E257"/>
    <mergeCell ref="G417:G418"/>
    <mergeCell ref="G255:G257"/>
    <mergeCell ref="G411:G413"/>
    <mergeCell ref="G442:G444"/>
    <mergeCell ref="E176:E179"/>
    <mergeCell ref="I442:I444"/>
    <mergeCell ref="G547:G550"/>
    <mergeCell ref="I547:I550"/>
    <mergeCell ref="E461:E462"/>
    <mergeCell ref="J479:J483"/>
    <mergeCell ref="F109:F110"/>
    <mergeCell ref="H109:H110"/>
    <mergeCell ref="J273:J274"/>
    <mergeCell ref="H459:H460"/>
    <mergeCell ref="H304:H305"/>
    <mergeCell ref="G506:G507"/>
    <mergeCell ref="F403:F405"/>
    <mergeCell ref="H403:H405"/>
    <mergeCell ref="F632:F633"/>
    <mergeCell ref="H632:H633"/>
    <mergeCell ref="G203:G204"/>
    <mergeCell ref="H607:H608"/>
    <mergeCell ref="E68:E69"/>
    <mergeCell ref="E239:E240"/>
    <mergeCell ref="F411:F413"/>
    <mergeCell ref="I335:I338"/>
    <mergeCell ref="H373:H374"/>
    <mergeCell ref="J373:J374"/>
    <mergeCell ref="J644:J645"/>
    <mergeCell ref="K101:K103"/>
    <mergeCell ref="J364:J365"/>
    <mergeCell ref="K117:K119"/>
    <mergeCell ref="F233:F234"/>
    <mergeCell ref="E168:E170"/>
    <mergeCell ref="F469:F470"/>
    <mergeCell ref="E361:E363"/>
    <mergeCell ref="G168:G170"/>
    <mergeCell ref="F251:F252"/>
    <mergeCell ref="G361:G363"/>
    <mergeCell ref="H251:H252"/>
    <mergeCell ref="J197:J198"/>
    <mergeCell ref="H226:H227"/>
    <mergeCell ref="I407:I408"/>
    <mergeCell ref="G394:G395"/>
    <mergeCell ref="K31:K32"/>
    <mergeCell ref="H84:H85"/>
    <mergeCell ref="F264:F265"/>
    <mergeCell ref="K145:K146"/>
    <mergeCell ref="E158:E159"/>
    <mergeCell ref="F650:F653"/>
    <mergeCell ref="H650:H653"/>
    <mergeCell ref="I623:I624"/>
    <mergeCell ref="F43:F44"/>
    <mergeCell ref="I166:I167"/>
    <mergeCell ref="E555:E558"/>
    <mergeCell ref="E486:E488"/>
    <mergeCell ref="G555:G558"/>
    <mergeCell ref="H384:H385"/>
    <mergeCell ref="E654:E655"/>
    <mergeCell ref="H117:H119"/>
    <mergeCell ref="E283:E284"/>
    <mergeCell ref="G654:G655"/>
    <mergeCell ref="J117:J119"/>
    <mergeCell ref="J584:J585"/>
    <mergeCell ref="J58:J59"/>
    <mergeCell ref="E233:E234"/>
    <mergeCell ref="E469:E470"/>
    <mergeCell ref="G56:G57"/>
    <mergeCell ref="H592:H593"/>
    <mergeCell ref="J592:J593"/>
    <mergeCell ref="G276:G277"/>
    <mergeCell ref="E512:E513"/>
    <mergeCell ref="I276:I277"/>
    <mergeCell ref="G512:G513"/>
    <mergeCell ref="I512:I513"/>
    <mergeCell ref="G226:G227"/>
    <mergeCell ref="G577:G578"/>
    <mergeCell ref="J523:J524"/>
    <mergeCell ref="F417:F418"/>
    <mergeCell ref="I453:I454"/>
    <mergeCell ref="I641:I642"/>
    <mergeCell ref="E545:E546"/>
    <mergeCell ref="J226:J227"/>
    <mergeCell ref="G176:G179"/>
    <mergeCell ref="H329:H332"/>
    <mergeCell ref="J329:J332"/>
    <mergeCell ref="I273:I274"/>
    <mergeCell ref="K349:K352"/>
    <mergeCell ref="F654:F655"/>
    <mergeCell ref="K273:K274"/>
    <mergeCell ref="F508:F511"/>
    <mergeCell ref="F56:F57"/>
    <mergeCell ref="H508:H511"/>
    <mergeCell ref="K239:K240"/>
    <mergeCell ref="E304:E305"/>
    <mergeCell ref="J63:J64"/>
    <mergeCell ref="J134:J135"/>
    <mergeCell ref="G304:G305"/>
    <mergeCell ref="J396:J401"/>
    <mergeCell ref="J503:J504"/>
    <mergeCell ref="E411:E413"/>
    <mergeCell ref="F572:F574"/>
    <mergeCell ref="F559:F560"/>
    <mergeCell ref="F475:F478"/>
    <mergeCell ref="K166:K167"/>
    <mergeCell ref="G644:G645"/>
    <mergeCell ref="I644:I645"/>
    <mergeCell ref="G364:G365"/>
    <mergeCell ref="I420:I422"/>
    <mergeCell ref="I174:I175"/>
    <mergeCell ref="I669:I672"/>
    <mergeCell ref="I329:I332"/>
    <mergeCell ref="K329:K332"/>
    <mergeCell ref="F361:F363"/>
    <mergeCell ref="F432:F434"/>
  </mergeCells>
  <pageMargins left="0.511811024" right="0.511811024" top="0.787401575" bottom="0.787401575" header="0" footer="0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50" customWidth="1" style="317" min="1" max="1"/>
    <col width="11.33" customWidth="1" style="317" min="2" max="2"/>
    <col width="12.11" customWidth="1" style="317" min="3" max="3"/>
    <col width="11" customWidth="1" style="317" min="4" max="5"/>
    <col width="18.33" customWidth="1" style="317" min="6" max="6"/>
    <col width="10" customWidth="1" style="317" min="7" max="7"/>
    <col width="12.44" customWidth="1" style="317" min="8" max="8"/>
    <col width="7.11" customWidth="1" style="317" min="9" max="9"/>
    <col width="33.44" customWidth="1" style="317" min="10" max="10"/>
    <col width="14.44" customWidth="1" style="317" min="11" max="11"/>
    <col width="8.890000000000001" customWidth="1" style="317" min="12" max="26"/>
  </cols>
  <sheetData>
    <row r="1" ht="81.75" customHeight="1" s="31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03" t="n"/>
      <c r="K1" s="1" t="n"/>
    </row>
    <row r="2">
      <c r="A2" s="349" t="inlineStr">
        <is>
          <t>PLANILHA VENDAS LIVRARIA EBP-BA 2024</t>
        </is>
      </c>
    </row>
    <row r="3">
      <c r="A3" s="104" t="inlineStr">
        <is>
          <t>ITENS</t>
        </is>
      </c>
      <c r="B3" s="104" t="inlineStr">
        <is>
          <t>QTD</t>
        </is>
      </c>
      <c r="C3" s="104" t="inlineStr">
        <is>
          <t>VALOR UNT</t>
        </is>
      </c>
      <c r="D3" s="104" t="inlineStr">
        <is>
          <t>SUBTOTAL</t>
        </is>
      </c>
      <c r="E3" s="104" t="inlineStr">
        <is>
          <t>VALOR FRETE</t>
        </is>
      </c>
      <c r="F3" s="104" t="inlineStr">
        <is>
          <t>VALOR TOTAL</t>
        </is>
      </c>
      <c r="G3" s="105" t="inlineStr">
        <is>
          <t>VENDA</t>
        </is>
      </c>
      <c r="H3" s="105" t="inlineStr">
        <is>
          <t>DATA VENDA</t>
        </is>
      </c>
      <c r="I3" s="105" t="inlineStr">
        <is>
          <t>FORMA PGTO</t>
        </is>
      </c>
      <c r="J3" s="106" t="n"/>
      <c r="K3" s="107" t="inlineStr">
        <is>
          <t>DATA ENVIO</t>
        </is>
      </c>
    </row>
    <row r="4" ht="15.75" customHeight="1" s="317">
      <c r="A4" s="66" t="inlineStr">
        <is>
          <t>Amor e Gozo</t>
        </is>
      </c>
      <c r="B4" s="108" t="n">
        <v>1</v>
      </c>
      <c r="C4" s="68" t="n">
        <v>95</v>
      </c>
      <c r="D4" s="68">
        <f>C4*B4</f>
        <v/>
      </c>
      <c r="E4" s="68" t="n"/>
      <c r="F4" s="110" t="n">
        <v>95</v>
      </c>
      <c r="G4" s="69">
        <f>F4</f>
        <v/>
      </c>
      <c r="H4" s="70" t="n">
        <v>45309</v>
      </c>
      <c r="I4" s="79" t="inlineStr">
        <is>
          <t>PIX</t>
        </is>
      </c>
      <c r="J4" s="112" t="n"/>
      <c r="K4" s="70" t="inlineStr">
        <is>
          <t>Retirou</t>
        </is>
      </c>
    </row>
    <row r="5">
      <c r="A5" s="236" t="inlineStr">
        <is>
          <t>Felicidade e Sintoma</t>
        </is>
      </c>
      <c r="B5" s="79" t="n">
        <v>1</v>
      </c>
      <c r="C5" s="68" t="n">
        <v>42</v>
      </c>
      <c r="D5" s="68">
        <f>C5*B5</f>
        <v/>
      </c>
      <c r="E5" s="76" t="n"/>
      <c r="F5" s="110">
        <f>E5+D5</f>
        <v/>
      </c>
      <c r="G5" s="69">
        <f>F5</f>
        <v/>
      </c>
      <c r="H5" s="70" t="n">
        <v>45310</v>
      </c>
      <c r="I5" s="79" t="inlineStr">
        <is>
          <t>PIX</t>
        </is>
      </c>
      <c r="J5" s="112" t="n"/>
      <c r="K5" s="70" t="inlineStr">
        <is>
          <t>Retirou</t>
        </is>
      </c>
    </row>
    <row r="6">
      <c r="A6" s="236" t="inlineStr">
        <is>
          <t>Agente 19</t>
        </is>
      </c>
      <c r="B6" s="79" t="n">
        <v>1</v>
      </c>
      <c r="C6" s="68" t="n">
        <v>12</v>
      </c>
      <c r="D6" s="68">
        <f>C6*B6</f>
        <v/>
      </c>
      <c r="E6" s="76" t="n"/>
      <c r="F6" s="110">
        <f>E6+D6</f>
        <v/>
      </c>
      <c r="G6" s="69">
        <f>F6</f>
        <v/>
      </c>
      <c r="H6" s="70" t="n">
        <v>45310</v>
      </c>
      <c r="I6" s="79" t="inlineStr">
        <is>
          <t>PIX</t>
        </is>
      </c>
      <c r="J6" s="115" t="n"/>
      <c r="K6" s="70" t="inlineStr">
        <is>
          <t>Retirou</t>
        </is>
      </c>
    </row>
    <row r="7">
      <c r="A7" s="236" t="inlineStr">
        <is>
          <t>Amor e Gozo</t>
        </is>
      </c>
      <c r="B7" s="79" t="n">
        <v>1</v>
      </c>
      <c r="C7" s="68" t="n">
        <v>95</v>
      </c>
      <c r="D7" s="68">
        <f>C7*B7</f>
        <v/>
      </c>
      <c r="E7" s="76" t="n"/>
      <c r="F7" s="110">
        <f>E7+D7</f>
        <v/>
      </c>
      <c r="G7" s="69">
        <f>F7</f>
        <v/>
      </c>
      <c r="H7" s="70" t="n">
        <v>45311</v>
      </c>
      <c r="I7" s="79" t="inlineStr">
        <is>
          <t>PIX</t>
        </is>
      </c>
      <c r="J7" s="115" t="n"/>
      <c r="K7" s="165" t="inlineStr">
        <is>
          <t>Retirou</t>
        </is>
      </c>
    </row>
    <row r="8">
      <c r="A8" s="236" t="inlineStr">
        <is>
          <t>Amor e Gozo</t>
        </is>
      </c>
      <c r="B8" s="79" t="n">
        <v>1</v>
      </c>
      <c r="C8" s="68" t="n">
        <v>95</v>
      </c>
      <c r="D8" s="68">
        <f>C8*B8</f>
        <v/>
      </c>
      <c r="E8" s="76" t="n"/>
      <c r="F8" s="110">
        <f>E8+D8</f>
        <v/>
      </c>
      <c r="G8" s="69">
        <f>F8</f>
        <v/>
      </c>
      <c r="H8" s="70" t="n">
        <v>45311</v>
      </c>
      <c r="I8" s="79" t="inlineStr">
        <is>
          <t>PIX</t>
        </is>
      </c>
      <c r="J8" s="118" t="n"/>
      <c r="K8" s="165" t="inlineStr">
        <is>
          <t>Retirou</t>
        </is>
      </c>
    </row>
    <row r="9">
      <c r="A9" s="236" t="inlineStr">
        <is>
          <t>Philip Dick com Jacques Lacan</t>
        </is>
      </c>
      <c r="B9" s="79" t="n">
        <v>1</v>
      </c>
      <c r="C9" s="68" t="n">
        <v>75</v>
      </c>
      <c r="D9" s="68">
        <f>C9*B9</f>
        <v/>
      </c>
      <c r="E9" s="76" t="n"/>
      <c r="F9" s="110">
        <f>E9+D9</f>
        <v/>
      </c>
      <c r="G9" s="69">
        <f>F9</f>
        <v/>
      </c>
      <c r="H9" s="70" t="n">
        <v>45311</v>
      </c>
      <c r="I9" s="79" t="inlineStr">
        <is>
          <t>PIX</t>
        </is>
      </c>
      <c r="J9" s="118" t="n"/>
      <c r="K9" s="165" t="inlineStr">
        <is>
          <t>Retirou</t>
        </is>
      </c>
    </row>
    <row r="10">
      <c r="A10" s="236" t="inlineStr">
        <is>
          <t>Amor e Gozo</t>
        </is>
      </c>
      <c r="B10" s="79" t="n">
        <v>4</v>
      </c>
      <c r="C10" s="68" t="n">
        <v>95</v>
      </c>
      <c r="D10" s="68">
        <f>C10*B10</f>
        <v/>
      </c>
      <c r="E10" s="76" t="n"/>
      <c r="F10" s="110">
        <f>E10+D10</f>
        <v/>
      </c>
      <c r="G10" s="69">
        <f>F10</f>
        <v/>
      </c>
      <c r="H10" s="70" t="n">
        <v>45311</v>
      </c>
      <c r="I10" s="79" t="inlineStr">
        <is>
          <t>PIX</t>
        </is>
      </c>
      <c r="J10" s="118" t="n"/>
      <c r="K10" s="165" t="inlineStr">
        <is>
          <t>Retirou</t>
        </is>
      </c>
    </row>
    <row r="11">
      <c r="A11" s="236" t="inlineStr">
        <is>
          <t>Philip Dick com Jacques Lacan</t>
        </is>
      </c>
      <c r="B11" s="79" t="n">
        <v>1</v>
      </c>
      <c r="C11" s="68" t="n">
        <v>75</v>
      </c>
      <c r="D11" s="68">
        <f>C11*B11</f>
        <v/>
      </c>
      <c r="E11" s="76" t="n"/>
      <c r="F11" s="110">
        <f>E11+D11</f>
        <v/>
      </c>
      <c r="G11" s="69">
        <f>F11</f>
        <v/>
      </c>
      <c r="H11" s="70" t="n">
        <v>45311</v>
      </c>
      <c r="I11" s="165" t="inlineStr">
        <is>
          <t>PIX</t>
        </is>
      </c>
      <c r="J11" s="118" t="n"/>
      <c r="K11" s="165" t="inlineStr">
        <is>
          <t>Retirou</t>
        </is>
      </c>
    </row>
    <row r="12">
      <c r="A12" s="236" t="inlineStr">
        <is>
          <t>Amor e Gozo</t>
        </is>
      </c>
      <c r="B12" s="79" t="n">
        <v>1</v>
      </c>
      <c r="C12" s="68" t="n">
        <v>95</v>
      </c>
      <c r="D12" s="68">
        <f>C12*B12</f>
        <v/>
      </c>
      <c r="E12" s="76" t="n"/>
      <c r="F12" s="110">
        <f>E12+D12</f>
        <v/>
      </c>
      <c r="G12" s="69">
        <f>F12</f>
        <v/>
      </c>
      <c r="H12" s="70" t="n">
        <v>45311</v>
      </c>
      <c r="I12" s="165" t="inlineStr">
        <is>
          <t>PIX</t>
        </is>
      </c>
      <c r="J12" s="118" t="n"/>
      <c r="K12" s="165" t="inlineStr">
        <is>
          <t>Retirou</t>
        </is>
      </c>
    </row>
    <row r="13">
      <c r="A13" s="236" t="inlineStr">
        <is>
          <t>Philip Dick com Jacques Lacan</t>
        </is>
      </c>
      <c r="B13" s="79" t="n">
        <v>1</v>
      </c>
      <c r="C13" s="68" t="n">
        <v>75</v>
      </c>
      <c r="D13" s="68">
        <f>C13*B13</f>
        <v/>
      </c>
      <c r="E13" s="76" t="n"/>
      <c r="F13" s="110">
        <f>E13+D13</f>
        <v/>
      </c>
      <c r="G13" s="69">
        <f>F13</f>
        <v/>
      </c>
      <c r="H13" s="91" t="n">
        <v>45311</v>
      </c>
      <c r="I13" s="94" t="inlineStr">
        <is>
          <t>PIX</t>
        </is>
      </c>
      <c r="J13" s="125" t="n"/>
      <c r="K13" s="94" t="inlineStr">
        <is>
          <t>Retirou</t>
        </is>
      </c>
    </row>
    <row r="14">
      <c r="A14" s="236" t="inlineStr">
        <is>
          <t>Amor e Gozo</t>
        </is>
      </c>
      <c r="B14" s="79" t="n">
        <v>5</v>
      </c>
      <c r="C14" s="68" t="n">
        <v>95</v>
      </c>
      <c r="D14" s="68">
        <f>C14*B14</f>
        <v/>
      </c>
      <c r="E14" s="76" t="n"/>
      <c r="F14" s="110">
        <f>E14+D14</f>
        <v/>
      </c>
      <c r="G14" s="69">
        <f>F14</f>
        <v/>
      </c>
      <c r="H14" s="70" t="n">
        <v>45313</v>
      </c>
      <c r="I14" s="165" t="inlineStr">
        <is>
          <t>PIX</t>
        </is>
      </c>
      <c r="J14" s="118" t="n"/>
      <c r="K14" s="165" t="inlineStr">
        <is>
          <t>Retirou</t>
        </is>
      </c>
    </row>
    <row r="15">
      <c r="A15" s="236" t="inlineStr">
        <is>
          <t>Amor e Gozo</t>
        </is>
      </c>
      <c r="B15" s="79" t="n">
        <v>1</v>
      </c>
      <c r="C15" s="68" t="n">
        <v>95</v>
      </c>
      <c r="D15" s="68">
        <f>C15*B15</f>
        <v/>
      </c>
      <c r="E15" s="76" t="n"/>
      <c r="F15" s="110">
        <f>E15+D15</f>
        <v/>
      </c>
      <c r="G15" s="69">
        <f>F15</f>
        <v/>
      </c>
      <c r="H15" s="70" t="n">
        <v>45313</v>
      </c>
      <c r="I15" s="165" t="inlineStr">
        <is>
          <t>PIX</t>
        </is>
      </c>
      <c r="J15" s="118" t="n"/>
      <c r="K15" s="165" t="inlineStr">
        <is>
          <t>Retirou</t>
        </is>
      </c>
    </row>
    <row r="16">
      <c r="A16" s="236" t="inlineStr">
        <is>
          <t>Philip Dick com Jacques Lacan</t>
        </is>
      </c>
      <c r="B16" s="79" t="n">
        <v>1</v>
      </c>
      <c r="C16" s="68" t="n">
        <v>75</v>
      </c>
      <c r="D16" s="68">
        <f>C16*B16</f>
        <v/>
      </c>
      <c r="E16" s="76" t="n"/>
      <c r="F16" s="110">
        <f>E16+D16</f>
        <v/>
      </c>
      <c r="G16" s="69">
        <f>F16</f>
        <v/>
      </c>
      <c r="H16" s="70" t="n">
        <v>45313</v>
      </c>
      <c r="I16" s="165" t="inlineStr">
        <is>
          <t>PIX</t>
        </is>
      </c>
      <c r="J16" s="118" t="n"/>
      <c r="K16" s="165" t="inlineStr">
        <is>
          <t>Retirou</t>
        </is>
      </c>
    </row>
    <row r="17">
      <c r="A17" s="236" t="inlineStr">
        <is>
          <t>Amor e Gozo</t>
        </is>
      </c>
      <c r="B17" s="79" t="n">
        <v>1</v>
      </c>
      <c r="C17" s="68" t="n">
        <v>95</v>
      </c>
      <c r="D17" s="68">
        <f>C17*B17</f>
        <v/>
      </c>
      <c r="E17" s="76" t="n"/>
      <c r="F17" s="110">
        <f>E17+D17</f>
        <v/>
      </c>
      <c r="G17" s="69">
        <f>F17</f>
        <v/>
      </c>
      <c r="H17" s="70" t="n">
        <v>45313</v>
      </c>
      <c r="I17" s="79" t="inlineStr">
        <is>
          <t>PIX</t>
        </is>
      </c>
      <c r="J17" s="118" t="n"/>
      <c r="K17" s="165" t="inlineStr">
        <is>
          <t>Retirou</t>
        </is>
      </c>
    </row>
    <row r="18">
      <c r="A18" s="236" t="inlineStr">
        <is>
          <t>Philip Dick com Jacques Lacan</t>
        </is>
      </c>
      <c r="B18" s="79" t="n">
        <v>1</v>
      </c>
      <c r="C18" s="68" t="n">
        <v>75</v>
      </c>
      <c r="D18" s="68">
        <f>C18*B18</f>
        <v/>
      </c>
      <c r="E18" s="76" t="n"/>
      <c r="F18" s="110">
        <f>E18+D18</f>
        <v/>
      </c>
      <c r="G18" s="69">
        <f>F18</f>
        <v/>
      </c>
      <c r="H18" s="70" t="n">
        <v>45313</v>
      </c>
      <c r="I18" s="79" t="inlineStr">
        <is>
          <t>PIX</t>
        </is>
      </c>
      <c r="J18" s="118" t="n"/>
      <c r="K18" s="165" t="inlineStr">
        <is>
          <t>Retirou</t>
        </is>
      </c>
    </row>
    <row r="19">
      <c r="A19" s="236" t="inlineStr">
        <is>
          <t>Amor e Gozo</t>
        </is>
      </c>
      <c r="B19" s="79" t="n">
        <v>1</v>
      </c>
      <c r="C19" s="68" t="n">
        <v>95</v>
      </c>
      <c r="D19" s="68">
        <f>C19*B19</f>
        <v/>
      </c>
      <c r="E19" s="76" t="n"/>
      <c r="F19" s="110">
        <f>E19+D19</f>
        <v/>
      </c>
      <c r="G19" s="69">
        <f>F19</f>
        <v/>
      </c>
      <c r="H19" s="70" t="n">
        <v>45313</v>
      </c>
      <c r="I19" s="79" t="inlineStr">
        <is>
          <t>PIX</t>
        </is>
      </c>
      <c r="J19" s="118" t="n"/>
      <c r="K19" s="165" t="inlineStr">
        <is>
          <t>Retirou</t>
        </is>
      </c>
    </row>
    <row r="20">
      <c r="A20" s="236" t="inlineStr">
        <is>
          <t>Philip Dick com Jacques Lacan</t>
        </is>
      </c>
      <c r="B20" s="79" t="n">
        <v>1</v>
      </c>
      <c r="C20" s="68" t="n">
        <v>75</v>
      </c>
      <c r="D20" s="68">
        <f>C20*B20</f>
        <v/>
      </c>
      <c r="E20" s="76" t="n"/>
      <c r="F20" s="110">
        <f>E20+D20</f>
        <v/>
      </c>
      <c r="G20" s="69">
        <f>F20</f>
        <v/>
      </c>
      <c r="H20" s="70" t="n">
        <v>45313</v>
      </c>
      <c r="I20" s="79" t="inlineStr">
        <is>
          <t>PIX</t>
        </is>
      </c>
      <c r="J20" s="118" t="n"/>
      <c r="K20" s="165" t="inlineStr">
        <is>
          <t>Retitou</t>
        </is>
      </c>
    </row>
    <row r="21">
      <c r="A21" s="236" t="inlineStr">
        <is>
          <t xml:space="preserve">La legebda Negra </t>
        </is>
      </c>
      <c r="B21" s="79" t="n">
        <v>1</v>
      </c>
      <c r="C21" s="68" t="n">
        <v>65</v>
      </c>
      <c r="D21" s="68">
        <f>C21*B21</f>
        <v/>
      </c>
      <c r="E21" s="76" t="n"/>
      <c r="F21" s="110">
        <f>E21+D21</f>
        <v/>
      </c>
      <c r="G21" s="69">
        <f>F21</f>
        <v/>
      </c>
      <c r="H21" s="70" t="n">
        <v>45317</v>
      </c>
      <c r="I21" s="79" t="inlineStr">
        <is>
          <t>PIX</t>
        </is>
      </c>
      <c r="J21" s="118" t="n"/>
      <c r="K21" s="165" t="inlineStr">
        <is>
          <t>Retirou</t>
        </is>
      </c>
    </row>
    <row r="22">
      <c r="A22" s="236" t="inlineStr">
        <is>
          <t>Madres, Anorexia y Feminidad</t>
        </is>
      </c>
      <c r="B22" s="79" t="n">
        <v>3</v>
      </c>
      <c r="C22" s="68" t="n">
        <v>54</v>
      </c>
      <c r="D22" s="68">
        <f>C22*B22</f>
        <v/>
      </c>
      <c r="E22" s="76" t="n"/>
      <c r="F22" s="110">
        <f>E22+D22</f>
        <v/>
      </c>
      <c r="G22" s="69">
        <f>F22</f>
        <v/>
      </c>
      <c r="H22" s="70" t="n">
        <v>45317</v>
      </c>
      <c r="I22" s="79" t="inlineStr">
        <is>
          <t>PIX</t>
        </is>
      </c>
      <c r="J22" s="118" t="n"/>
      <c r="K22" s="165" t="inlineStr">
        <is>
          <t>Retirou</t>
        </is>
      </c>
    </row>
    <row r="23">
      <c r="A23" s="236" t="inlineStr">
        <is>
          <t>Introducccioón a Toxicacomanías y Alcolismo</t>
        </is>
      </c>
      <c r="B23" s="79" t="n">
        <v>1</v>
      </c>
      <c r="C23" s="68" t="n">
        <v>70</v>
      </c>
      <c r="D23" s="68">
        <f>C23*B23</f>
        <v/>
      </c>
      <c r="E23" s="76" t="n"/>
      <c r="F23" s="110">
        <f>E23+D23</f>
        <v/>
      </c>
      <c r="G23" s="69">
        <f>F23</f>
        <v/>
      </c>
      <c r="H23" s="70" t="inlineStr">
        <is>
          <t>29/02/2,24</t>
        </is>
      </c>
      <c r="I23" s="79" t="inlineStr">
        <is>
          <t>PIX</t>
        </is>
      </c>
      <c r="J23" s="118" t="n"/>
      <c r="K23" s="165" t="inlineStr">
        <is>
          <t>Enviou</t>
        </is>
      </c>
    </row>
    <row r="24">
      <c r="A24" s="236" t="inlineStr">
        <is>
          <t>Introducccioón a Toxicacomanías y Alcolismo</t>
        </is>
      </c>
      <c r="B24" s="79" t="n">
        <v>1</v>
      </c>
      <c r="C24" s="68" t="n">
        <v>70</v>
      </c>
      <c r="D24" s="68">
        <f>C24*B24</f>
        <v/>
      </c>
      <c r="E24" s="76" t="n"/>
      <c r="F24" s="110">
        <f>E24+D24</f>
        <v/>
      </c>
      <c r="G24" s="69">
        <f>F24</f>
        <v/>
      </c>
      <c r="H24" s="70" t="n">
        <v>45351</v>
      </c>
      <c r="I24" s="79" t="inlineStr">
        <is>
          <t>PIX</t>
        </is>
      </c>
      <c r="J24" s="118" t="n"/>
      <c r="K24" s="165" t="inlineStr">
        <is>
          <t>Enviou</t>
        </is>
      </c>
    </row>
    <row r="25">
      <c r="A25" s="236" t="inlineStr">
        <is>
          <t>Introducccioón a Toxicacomanías y Alcolismo</t>
        </is>
      </c>
      <c r="B25" s="79" t="n">
        <v>1</v>
      </c>
      <c r="C25" s="68" t="n">
        <v>70</v>
      </c>
      <c r="D25" s="68">
        <f>C25*B25</f>
        <v/>
      </c>
      <c r="E25" s="76" t="n"/>
      <c r="F25" s="110">
        <f>E25+D25</f>
        <v/>
      </c>
      <c r="G25" s="69">
        <f>F25</f>
        <v/>
      </c>
      <c r="H25" s="70" t="n">
        <v>45351</v>
      </c>
      <c r="I25" s="79" t="inlineStr">
        <is>
          <t>PIX</t>
        </is>
      </c>
      <c r="J25" s="118" t="n"/>
      <c r="K25" s="165" t="inlineStr">
        <is>
          <t>Enviou</t>
        </is>
      </c>
    </row>
    <row r="26">
      <c r="A26" s="236" t="inlineStr">
        <is>
          <t>Monólogo Compartido com La locura</t>
        </is>
      </c>
      <c r="B26" s="79" t="n">
        <v>1</v>
      </c>
      <c r="C26" s="68" t="n">
        <v>90</v>
      </c>
      <c r="D26" s="68">
        <f>C26*B26</f>
        <v/>
      </c>
      <c r="E26" s="76" t="n"/>
      <c r="F26" s="110">
        <f>E26+D26</f>
        <v/>
      </c>
      <c r="G26" s="69">
        <f>F26</f>
        <v/>
      </c>
      <c r="H26" s="70" t="n">
        <v>45351</v>
      </c>
      <c r="I26" s="79" t="inlineStr">
        <is>
          <t>PIX</t>
        </is>
      </c>
      <c r="J26" s="118" t="n"/>
      <c r="K26" s="165" t="inlineStr">
        <is>
          <t>Enviou</t>
        </is>
      </c>
    </row>
    <row r="27">
      <c r="A27" s="236" t="inlineStr">
        <is>
          <t>Introducccioón a Toxicacomanías y Alcolismo</t>
        </is>
      </c>
      <c r="B27" s="79" t="n">
        <v>1</v>
      </c>
      <c r="C27" s="68" t="n">
        <v>70</v>
      </c>
      <c r="D27" s="68">
        <f>C27*B27</f>
        <v/>
      </c>
      <c r="E27" s="76" t="n">
        <v>15</v>
      </c>
      <c r="F27" s="110">
        <f>E27+D27</f>
        <v/>
      </c>
      <c r="G27" s="69">
        <f>F27</f>
        <v/>
      </c>
      <c r="H27" s="70" t="n">
        <v>45352</v>
      </c>
      <c r="I27" s="79" t="inlineStr">
        <is>
          <t>PIX</t>
        </is>
      </c>
      <c r="J27" s="118" t="n"/>
      <c r="K27" s="165" t="inlineStr">
        <is>
          <t>Enviou</t>
        </is>
      </c>
    </row>
    <row r="28">
      <c r="A28" s="236" t="inlineStr">
        <is>
          <t>Introducccioón a Toxicacomanías y Alcolismo</t>
        </is>
      </c>
      <c r="B28" s="79" t="n">
        <v>6</v>
      </c>
      <c r="C28" s="68" t="n">
        <v>70</v>
      </c>
      <c r="D28" s="68">
        <f>C28*B28</f>
        <v/>
      </c>
      <c r="E28" s="76" t="n">
        <v>15</v>
      </c>
      <c r="F28" s="110">
        <f>E28+D28</f>
        <v/>
      </c>
      <c r="G28" s="69">
        <f>F28</f>
        <v/>
      </c>
      <c r="H28" s="70" t="n">
        <v>45352</v>
      </c>
      <c r="I28" s="79" t="inlineStr">
        <is>
          <t>PIX</t>
        </is>
      </c>
      <c r="J28" s="118" t="n"/>
      <c r="K28" s="165" t="inlineStr">
        <is>
          <t>Enviou</t>
        </is>
      </c>
    </row>
    <row r="29">
      <c r="A29" s="236" t="inlineStr">
        <is>
          <t>Introducccioón a Toxicacomanías y Alcolismo</t>
        </is>
      </c>
      <c r="B29" s="79" t="n">
        <v>1</v>
      </c>
      <c r="C29" s="68" t="n">
        <v>70</v>
      </c>
      <c r="D29" s="68">
        <f>C29*B29</f>
        <v/>
      </c>
      <c r="E29" s="76" t="n"/>
      <c r="F29" s="110">
        <f>E29+D29</f>
        <v/>
      </c>
      <c r="G29" s="69">
        <f>F29</f>
        <v/>
      </c>
      <c r="H29" s="70" t="n">
        <v>45352</v>
      </c>
      <c r="I29" s="79" t="inlineStr">
        <is>
          <t>PIX</t>
        </is>
      </c>
      <c r="J29" s="118" t="n"/>
      <c r="K29" s="165" t="inlineStr">
        <is>
          <t>Retirou</t>
        </is>
      </c>
    </row>
    <row r="30">
      <c r="A30" s="236" t="inlineStr">
        <is>
          <t>A Função do Pai</t>
        </is>
      </c>
      <c r="B30" s="79" t="n">
        <v>1</v>
      </c>
      <c r="C30" s="68" t="n">
        <v>60</v>
      </c>
      <c r="D30" s="68">
        <f>C30*B30</f>
        <v/>
      </c>
      <c r="E30" s="76" t="n"/>
      <c r="F30" s="110">
        <f>E30+D30</f>
        <v/>
      </c>
      <c r="G30" s="69">
        <f>F30</f>
        <v/>
      </c>
      <c r="H30" s="91" t="n">
        <v>45352</v>
      </c>
      <c r="I30" s="93" t="inlineStr">
        <is>
          <t>PIX</t>
        </is>
      </c>
      <c r="J30" s="125" t="n"/>
      <c r="K30" s="94" t="inlineStr">
        <is>
          <t>Retirou</t>
        </is>
      </c>
    </row>
    <row r="31">
      <c r="A31" s="236" t="inlineStr">
        <is>
          <t>Introducccioón a Toxicacomanías y Alcolismo</t>
        </is>
      </c>
      <c r="B31" s="79" t="n">
        <v>11</v>
      </c>
      <c r="C31" s="68" t="n">
        <v>70</v>
      </c>
      <c r="D31" s="68">
        <f>C31*B31</f>
        <v/>
      </c>
      <c r="E31" s="76" t="n"/>
      <c r="F31" s="110">
        <f>E31+D31</f>
        <v/>
      </c>
      <c r="G31" s="69">
        <f>F31</f>
        <v/>
      </c>
      <c r="H31" s="70" t="n">
        <v>45356</v>
      </c>
      <c r="I31" s="79" t="inlineStr">
        <is>
          <t>PIX</t>
        </is>
      </c>
      <c r="J31" s="118" t="n"/>
      <c r="K31" s="79" t="inlineStr">
        <is>
          <t>Retirou</t>
        </is>
      </c>
    </row>
    <row r="32">
      <c r="A32" s="236" t="inlineStr">
        <is>
          <t>A Morte de SI</t>
        </is>
      </c>
      <c r="B32" s="79" t="n">
        <v>1</v>
      </c>
      <c r="C32" s="68" t="n">
        <v>78</v>
      </c>
      <c r="D32" s="68">
        <f>C32*B32</f>
        <v/>
      </c>
      <c r="E32" s="76" t="n"/>
      <c r="F32" s="131">
        <f>E32+D32</f>
        <v/>
      </c>
      <c r="G32" s="69">
        <f>F32</f>
        <v/>
      </c>
      <c r="H32" s="70" t="n">
        <v>45356</v>
      </c>
      <c r="I32" s="79" t="inlineStr">
        <is>
          <t>PIX</t>
        </is>
      </c>
      <c r="J32" s="118" t="n"/>
      <c r="K32" s="165" t="inlineStr">
        <is>
          <t>Retirou</t>
        </is>
      </c>
    </row>
    <row r="33">
      <c r="A33" s="236" t="inlineStr">
        <is>
          <t>A Morte de SI</t>
        </is>
      </c>
      <c r="B33" s="79" t="n">
        <v>1</v>
      </c>
      <c r="C33" s="68" t="n">
        <v>78</v>
      </c>
      <c r="D33" s="68">
        <f>C33*B33</f>
        <v/>
      </c>
      <c r="E33" s="76" t="n"/>
      <c r="F33" s="131">
        <f>E33+D33</f>
        <v/>
      </c>
      <c r="G33" s="69">
        <f>F33</f>
        <v/>
      </c>
      <c r="H33" s="70" t="n">
        <v>45356</v>
      </c>
      <c r="I33" s="79" t="inlineStr">
        <is>
          <t>PIX</t>
        </is>
      </c>
      <c r="J33" s="118" t="n"/>
      <c r="K33" s="165" t="inlineStr">
        <is>
          <t>Retirou</t>
        </is>
      </c>
    </row>
    <row r="34">
      <c r="A34" s="236" t="inlineStr">
        <is>
          <t>A Morte de SI</t>
        </is>
      </c>
      <c r="B34" s="79" t="n">
        <v>1</v>
      </c>
      <c r="C34" s="68" t="n">
        <v>78</v>
      </c>
      <c r="D34" s="68">
        <f>C34*B34</f>
        <v/>
      </c>
      <c r="E34" s="76" t="n"/>
      <c r="F34" s="131">
        <f>E34+D34</f>
        <v/>
      </c>
      <c r="G34" s="69">
        <f>F34</f>
        <v/>
      </c>
      <c r="H34" s="70" t="n">
        <v>45356</v>
      </c>
      <c r="I34" s="79" t="inlineStr">
        <is>
          <t>PIX</t>
        </is>
      </c>
      <c r="J34" s="118" t="n"/>
      <c r="K34" s="165" t="inlineStr">
        <is>
          <t>Retirou</t>
        </is>
      </c>
    </row>
    <row r="35">
      <c r="A35" s="236" t="inlineStr">
        <is>
          <t>Embrollios del Cuerpo</t>
        </is>
      </c>
      <c r="B35" s="79" t="n">
        <v>1</v>
      </c>
      <c r="C35" s="68" t="n">
        <v>154</v>
      </c>
      <c r="D35" s="68">
        <f>C35*B35</f>
        <v/>
      </c>
      <c r="E35" s="76" t="n"/>
      <c r="F35" s="131">
        <f>E35+D35</f>
        <v/>
      </c>
      <c r="G35" s="69">
        <f>F35</f>
        <v/>
      </c>
      <c r="H35" s="70" t="n">
        <v>45358</v>
      </c>
      <c r="I35" s="79" t="inlineStr">
        <is>
          <t>PIX</t>
        </is>
      </c>
      <c r="J35" s="118" t="n"/>
      <c r="K35" s="165" t="inlineStr">
        <is>
          <t>Retirou</t>
        </is>
      </c>
    </row>
    <row r="36">
      <c r="A36" s="236" t="inlineStr">
        <is>
          <t>Monólogo Compartido com La locura</t>
        </is>
      </c>
      <c r="B36" s="79" t="n">
        <v>1</v>
      </c>
      <c r="C36" s="68" t="n">
        <v>90</v>
      </c>
      <c r="D36" s="68">
        <f>C36</f>
        <v/>
      </c>
      <c r="E36" s="76" t="n"/>
      <c r="F36" s="131">
        <f>E36+D36</f>
        <v/>
      </c>
      <c r="G36" s="69">
        <f>F36</f>
        <v/>
      </c>
      <c r="H36" s="70" t="n">
        <v>45357</v>
      </c>
      <c r="I36" s="79" t="inlineStr">
        <is>
          <t>PIX</t>
        </is>
      </c>
      <c r="J36" s="118" t="n"/>
      <c r="K36" s="165" t="inlineStr">
        <is>
          <t>Retirou</t>
        </is>
      </c>
    </row>
    <row r="37">
      <c r="A37" s="236" t="inlineStr">
        <is>
          <t>Modode gozar em Femenino</t>
        </is>
      </c>
      <c r="B37" s="79" t="n">
        <v>1</v>
      </c>
      <c r="C37" s="68" t="n">
        <v>148</v>
      </c>
      <c r="D37" s="68">
        <f>C37*B37</f>
        <v/>
      </c>
      <c r="E37" s="76" t="n"/>
      <c r="F37" s="131">
        <f>E37+D37</f>
        <v/>
      </c>
      <c r="G37" s="69">
        <f>F37</f>
        <v/>
      </c>
      <c r="H37" s="70" t="n">
        <v>45364</v>
      </c>
      <c r="I37" s="79" t="inlineStr">
        <is>
          <t>PIX</t>
        </is>
      </c>
      <c r="J37" s="118" t="n"/>
      <c r="K37" s="165" t="inlineStr">
        <is>
          <t>Retirou</t>
        </is>
      </c>
    </row>
    <row r="38">
      <c r="A38" s="236" t="inlineStr">
        <is>
          <t>O despertar, domir, sonhar, acordar talvez</t>
        </is>
      </c>
      <c r="B38" s="79" t="n">
        <v>1</v>
      </c>
      <c r="C38" s="68" t="n">
        <v>73</v>
      </c>
      <c r="D38" s="68">
        <f>C38*B38</f>
        <v/>
      </c>
      <c r="E38" s="76" t="n"/>
      <c r="F38" s="131">
        <f>E38+D38</f>
        <v/>
      </c>
      <c r="G38" s="69">
        <f>F38</f>
        <v/>
      </c>
      <c r="H38" s="70" t="n">
        <v>45364</v>
      </c>
      <c r="I38" s="79" t="inlineStr">
        <is>
          <t>PIX</t>
        </is>
      </c>
      <c r="J38" s="118" t="n"/>
      <c r="K38" s="165" t="inlineStr">
        <is>
          <t>Retirou</t>
        </is>
      </c>
    </row>
    <row r="39">
      <c r="A39" s="236" t="inlineStr">
        <is>
          <t>Paiones Lacanianas</t>
        </is>
      </c>
      <c r="B39" s="79" t="n">
        <v>1</v>
      </c>
      <c r="C39" s="68" t="n">
        <v>75</v>
      </c>
      <c r="D39" s="68">
        <f>C39*B39</f>
        <v/>
      </c>
      <c r="E39" s="76" t="n"/>
      <c r="F39" s="131">
        <f>E39+D39</f>
        <v/>
      </c>
      <c r="G39" s="69">
        <f>F39</f>
        <v/>
      </c>
      <c r="H39" s="70" t="n">
        <v>45364</v>
      </c>
      <c r="I39" s="79" t="inlineStr">
        <is>
          <t>PIX</t>
        </is>
      </c>
      <c r="J39" s="118" t="n"/>
      <c r="K39" s="165" t="inlineStr">
        <is>
          <t>Retirou</t>
        </is>
      </c>
    </row>
    <row r="40">
      <c r="A40" s="236" t="inlineStr">
        <is>
          <t>Augústia</t>
        </is>
      </c>
      <c r="B40" s="79" t="n">
        <v>1</v>
      </c>
      <c r="C40" s="68" t="n">
        <v>80</v>
      </c>
      <c r="D40" s="68">
        <f>C40*B40</f>
        <v/>
      </c>
      <c r="E40" s="76" t="n"/>
      <c r="F40" s="131">
        <f>E40+D40</f>
        <v/>
      </c>
      <c r="G40" s="69">
        <f>F40</f>
        <v/>
      </c>
      <c r="H40" s="70" t="n">
        <v>45365</v>
      </c>
      <c r="I40" s="79" t="inlineStr">
        <is>
          <t>PIX</t>
        </is>
      </c>
      <c r="J40" s="118" t="n"/>
      <c r="K40" s="165" t="inlineStr">
        <is>
          <t>Retirou</t>
        </is>
      </c>
    </row>
    <row r="41">
      <c r="A41" s="236" t="inlineStr">
        <is>
          <t>LAS Entrevistas Preliminares Y la entrada em análise</t>
        </is>
      </c>
      <c r="B41" s="79" t="n">
        <v>1</v>
      </c>
      <c r="C41" s="68" t="n">
        <v>252</v>
      </c>
      <c r="D41" s="68">
        <f>C41*B41</f>
        <v/>
      </c>
      <c r="E41" s="76" t="n"/>
      <c r="F41" s="131">
        <f>E41+D41</f>
        <v/>
      </c>
      <c r="G41" s="69">
        <f>F41</f>
        <v/>
      </c>
      <c r="H41" s="70" t="n">
        <v>45371</v>
      </c>
      <c r="I41" s="79" t="inlineStr">
        <is>
          <t>PIX</t>
        </is>
      </c>
      <c r="J41" s="118" t="n"/>
      <c r="K41" s="165" t="inlineStr">
        <is>
          <t>Retirou</t>
        </is>
      </c>
    </row>
    <row r="42">
      <c r="A42" s="236" t="inlineStr">
        <is>
          <t>Introducccioón a Toxicacomanías y Alcolismo</t>
        </is>
      </c>
      <c r="B42" s="79" t="n">
        <v>1</v>
      </c>
      <c r="C42" s="68" t="n">
        <v>70</v>
      </c>
      <c r="D42" s="68">
        <f>C42*B42</f>
        <v/>
      </c>
      <c r="E42" s="76" t="n"/>
      <c r="F42" s="131">
        <f>E42+D42</f>
        <v/>
      </c>
      <c r="G42" s="69">
        <f>F42</f>
        <v/>
      </c>
      <c r="H42" s="70" t="n"/>
      <c r="I42" s="79" t="inlineStr">
        <is>
          <t>PIX</t>
        </is>
      </c>
      <c r="J42" s="118" t="n"/>
      <c r="K42" s="165" t="inlineStr">
        <is>
          <t>Retirou</t>
        </is>
      </c>
    </row>
    <row r="43">
      <c r="A43" s="236" t="inlineStr">
        <is>
          <t>Pasiones Lacanianas</t>
        </is>
      </c>
      <c r="B43" s="79" t="n">
        <v>1</v>
      </c>
      <c r="C43" s="68" t="n">
        <v>75</v>
      </c>
      <c r="D43" s="68">
        <f>C43*B43</f>
        <v/>
      </c>
      <c r="E43" s="76" t="n"/>
      <c r="F43" s="131">
        <f>E43+D43</f>
        <v/>
      </c>
      <c r="G43" s="69">
        <f>F43</f>
        <v/>
      </c>
      <c r="H43" s="70" t="n">
        <v>45357</v>
      </c>
      <c r="I43" s="79" t="inlineStr">
        <is>
          <t>PIX</t>
        </is>
      </c>
      <c r="J43" s="118" t="n"/>
      <c r="K43" s="165" t="inlineStr">
        <is>
          <t>Retirou</t>
        </is>
      </c>
    </row>
    <row r="44">
      <c r="A44" s="236" t="inlineStr">
        <is>
          <t>Amor e Gozo</t>
        </is>
      </c>
      <c r="B44" s="79" t="n">
        <v>1</v>
      </c>
      <c r="C44" s="68" t="n">
        <v>95</v>
      </c>
      <c r="D44" s="68">
        <f>C44*B44</f>
        <v/>
      </c>
      <c r="E44" s="117" t="n"/>
      <c r="F44" s="135">
        <f>D44</f>
        <v/>
      </c>
      <c r="G44" s="82">
        <f>F44</f>
        <v/>
      </c>
      <c r="H44" s="83" t="n">
        <v>45357</v>
      </c>
      <c r="I44" s="86" t="inlineStr">
        <is>
          <t>PIX</t>
        </is>
      </c>
      <c r="J44" s="136" t="n"/>
      <c r="K44" s="165" t="inlineStr">
        <is>
          <t>Retirou</t>
        </is>
      </c>
    </row>
    <row r="45">
      <c r="A45" s="236" t="inlineStr">
        <is>
          <t>A Morte de SI</t>
        </is>
      </c>
      <c r="B45" s="79" t="n">
        <v>4</v>
      </c>
      <c r="C45" s="68" t="n">
        <v>78</v>
      </c>
      <c r="D45" s="68">
        <f>C45*B45</f>
        <v/>
      </c>
      <c r="E45" s="117" t="n"/>
      <c r="F45" s="131">
        <f>D45</f>
        <v/>
      </c>
      <c r="G45" s="69">
        <f>F45</f>
        <v/>
      </c>
      <c r="H45" s="91" t="n">
        <v>45359</v>
      </c>
      <c r="I45" s="86" t="inlineStr">
        <is>
          <t>PIX</t>
        </is>
      </c>
      <c r="J45" s="125" t="n"/>
      <c r="K45" s="165" t="inlineStr">
        <is>
          <t>Retirou</t>
        </is>
      </c>
    </row>
    <row r="46">
      <c r="A46" s="236" t="inlineStr">
        <is>
          <t>Pasiones Lacanianas</t>
        </is>
      </c>
      <c r="B46" s="79" t="n">
        <v>1</v>
      </c>
      <c r="C46" s="68" t="n">
        <v>75</v>
      </c>
      <c r="D46" s="68">
        <f>C46*B46</f>
        <v/>
      </c>
      <c r="E46" s="117" t="n"/>
      <c r="F46" s="131">
        <f>D46</f>
        <v/>
      </c>
      <c r="G46" s="69" t="n"/>
      <c r="H46" s="91" t="n">
        <v>45359</v>
      </c>
      <c r="I46" s="86" t="inlineStr">
        <is>
          <t>PIX</t>
        </is>
      </c>
      <c r="J46" s="125" t="n"/>
      <c r="K46" s="165" t="inlineStr">
        <is>
          <t>Retirou</t>
        </is>
      </c>
    </row>
    <row r="47">
      <c r="A47" s="236" t="inlineStr">
        <is>
          <t>Pasiones Lacanianas</t>
        </is>
      </c>
      <c r="B47" s="79" t="n">
        <v>1</v>
      </c>
      <c r="C47" s="68" t="n">
        <v>75</v>
      </c>
      <c r="D47" s="68">
        <f>C47*B47</f>
        <v/>
      </c>
      <c r="E47" s="117" t="n"/>
      <c r="F47" s="131" t="n">
        <v>75</v>
      </c>
      <c r="G47" s="69" t="n"/>
      <c r="H47" s="91" t="n">
        <v>45359</v>
      </c>
      <c r="I47" s="86" t="inlineStr">
        <is>
          <t>PIX</t>
        </is>
      </c>
      <c r="J47" s="125" t="n"/>
      <c r="K47" s="165" t="inlineStr">
        <is>
          <t>Retirou</t>
        </is>
      </c>
    </row>
    <row r="48">
      <c r="A48" s="236" t="inlineStr">
        <is>
          <t>Pasiones Lacanianas</t>
        </is>
      </c>
      <c r="B48" s="79" t="n">
        <v>1</v>
      </c>
      <c r="C48" s="68" t="n">
        <v>75</v>
      </c>
      <c r="D48" s="68">
        <f>C48*B48</f>
        <v/>
      </c>
      <c r="E48" s="76" t="n"/>
      <c r="F48" s="131" t="n">
        <v>75</v>
      </c>
      <c r="G48" s="69" t="n"/>
      <c r="H48" s="70" t="n">
        <v>45359</v>
      </c>
      <c r="I48" s="86" t="inlineStr">
        <is>
          <t>PIX</t>
        </is>
      </c>
      <c r="J48" s="118" t="n"/>
      <c r="K48" s="165" t="inlineStr">
        <is>
          <t>Retirou</t>
        </is>
      </c>
    </row>
    <row r="49">
      <c r="A49" s="236" t="inlineStr">
        <is>
          <t>Pasiones Lacanianas</t>
        </is>
      </c>
      <c r="B49" s="79" t="n">
        <v>1</v>
      </c>
      <c r="C49" s="68" t="n">
        <v>75</v>
      </c>
      <c r="D49" s="68">
        <f>C49*B49</f>
        <v/>
      </c>
      <c r="E49" s="76" t="n"/>
      <c r="F49" s="131" t="n">
        <v>75</v>
      </c>
      <c r="G49" s="69" t="n"/>
      <c r="H49" s="70" t="n">
        <v>45359</v>
      </c>
      <c r="I49" s="86" t="inlineStr">
        <is>
          <t>PIX</t>
        </is>
      </c>
      <c r="J49" s="118" t="n"/>
      <c r="K49" s="165" t="inlineStr">
        <is>
          <t>Retirou</t>
        </is>
      </c>
    </row>
    <row r="50">
      <c r="A50" s="236" t="inlineStr">
        <is>
          <t>Modo de Gozar em femenino</t>
        </is>
      </c>
      <c r="B50" s="79" t="n">
        <v>1</v>
      </c>
      <c r="C50" s="68" t="n">
        <v>148</v>
      </c>
      <c r="D50" s="68">
        <f>C50*B50</f>
        <v/>
      </c>
      <c r="E50" s="90" t="n"/>
      <c r="F50" s="141" t="n">
        <v>148</v>
      </c>
      <c r="G50" s="100" t="n"/>
      <c r="H50" s="91" t="n">
        <v>45359</v>
      </c>
      <c r="I50" s="86" t="inlineStr">
        <is>
          <t>PIX</t>
        </is>
      </c>
      <c r="J50" s="125" t="n"/>
      <c r="K50" s="165" t="inlineStr">
        <is>
          <t>Retirou</t>
        </is>
      </c>
    </row>
    <row r="51">
      <c r="A51" s="236" t="inlineStr">
        <is>
          <t>Pasiones Lacanianas</t>
        </is>
      </c>
      <c r="B51" s="79" t="n">
        <v>1</v>
      </c>
      <c r="C51" s="68" t="n">
        <v>75</v>
      </c>
      <c r="D51" s="68">
        <f>C51*B51</f>
        <v/>
      </c>
      <c r="E51" s="76" t="n"/>
      <c r="F51" s="131" t="n">
        <v>75</v>
      </c>
      <c r="G51" s="69" t="n"/>
      <c r="H51" s="70" t="inlineStr">
        <is>
          <t>08//03/2024</t>
        </is>
      </c>
      <c r="I51" s="86" t="inlineStr">
        <is>
          <t>PIX</t>
        </is>
      </c>
      <c r="J51" s="118" t="n"/>
      <c r="K51" s="165" t="inlineStr">
        <is>
          <t>Retirou</t>
        </is>
      </c>
    </row>
    <row r="52">
      <c r="A52" s="236" t="inlineStr">
        <is>
          <t>Pasiones Lacanianas</t>
        </is>
      </c>
      <c r="B52" s="79" t="n">
        <v>1</v>
      </c>
      <c r="C52" s="68" t="n">
        <v>75</v>
      </c>
      <c r="D52" s="68">
        <f>C52*B52</f>
        <v/>
      </c>
      <c r="E52" s="76" t="n"/>
      <c r="F52" s="135" t="n">
        <v>75</v>
      </c>
      <c r="G52" s="82" t="n"/>
      <c r="H52" s="83" t="n">
        <v>45359</v>
      </c>
      <c r="I52" s="86" t="inlineStr">
        <is>
          <t>PIX</t>
        </is>
      </c>
      <c r="J52" s="136" t="n"/>
      <c r="K52" s="165" t="inlineStr">
        <is>
          <t>Retirou</t>
        </is>
      </c>
    </row>
    <row r="53">
      <c r="A53" s="236" t="inlineStr">
        <is>
          <t>Pasiones Lacanianas</t>
        </is>
      </c>
      <c r="B53" s="79" t="n">
        <v>13</v>
      </c>
      <c r="C53" s="68" t="n">
        <v>75</v>
      </c>
      <c r="D53" s="68">
        <f>C53*B53</f>
        <v/>
      </c>
      <c r="E53" s="76" t="n"/>
      <c r="F53" s="131" t="n">
        <v>75</v>
      </c>
      <c r="G53" s="69" t="n"/>
      <c r="H53" s="70" t="n">
        <v>45359</v>
      </c>
      <c r="I53" s="86" t="inlineStr">
        <is>
          <t>PIX</t>
        </is>
      </c>
      <c r="J53" s="118" t="n"/>
      <c r="K53" s="165" t="inlineStr">
        <is>
          <t>Retirou</t>
        </is>
      </c>
    </row>
    <row r="54">
      <c r="A54" s="236" t="inlineStr">
        <is>
          <t>Pasiones Lacanianas</t>
        </is>
      </c>
      <c r="B54" s="79" t="n">
        <v>1</v>
      </c>
      <c r="C54" s="68" t="n">
        <v>75</v>
      </c>
      <c r="D54" s="68">
        <f>C54*B54</f>
        <v/>
      </c>
      <c r="E54" s="76" t="n"/>
      <c r="F54" s="131" t="n">
        <v>75</v>
      </c>
      <c r="G54" s="69" t="n"/>
      <c r="H54" s="70" t="n">
        <v>45359</v>
      </c>
      <c r="I54" s="86" t="inlineStr">
        <is>
          <t>PIX</t>
        </is>
      </c>
      <c r="J54" s="118" t="n"/>
      <c r="K54" s="165" t="inlineStr">
        <is>
          <t>Retirou</t>
        </is>
      </c>
    </row>
    <row r="55">
      <c r="A55" s="236" t="inlineStr">
        <is>
          <t>Pasiones Lacanianas</t>
        </is>
      </c>
      <c r="B55" s="79" t="n">
        <v>1</v>
      </c>
      <c r="C55" s="68" t="n">
        <v>75</v>
      </c>
      <c r="D55" s="68">
        <f>C55*B55</f>
        <v/>
      </c>
      <c r="E55" s="76" t="n"/>
      <c r="F55" s="131" t="n">
        <v>75</v>
      </c>
      <c r="G55" s="69" t="n"/>
      <c r="H55" s="70" t="n">
        <v>45359</v>
      </c>
      <c r="I55" s="86" t="inlineStr">
        <is>
          <t>PIX</t>
        </is>
      </c>
      <c r="J55" s="118" t="n"/>
      <c r="K55" s="165" t="inlineStr">
        <is>
          <t>Retirou</t>
        </is>
      </c>
    </row>
    <row r="56">
      <c r="A56" s="236" t="inlineStr">
        <is>
          <t>Pasiones Lacanianas</t>
        </is>
      </c>
      <c r="B56" s="79" t="n">
        <v>1</v>
      </c>
      <c r="C56" s="68" t="n">
        <v>75</v>
      </c>
      <c r="D56" s="68">
        <f>C56*B56</f>
        <v/>
      </c>
      <c r="E56" s="76" t="n"/>
      <c r="F56" s="131" t="n">
        <v>75</v>
      </c>
      <c r="G56" s="69" t="n"/>
      <c r="H56" s="70" t="n">
        <v>45359</v>
      </c>
      <c r="I56" s="86" t="inlineStr">
        <is>
          <t>PIX</t>
        </is>
      </c>
      <c r="J56" s="118" t="n"/>
      <c r="K56" s="165" t="inlineStr">
        <is>
          <t>Retirou</t>
        </is>
      </c>
    </row>
    <row r="57">
      <c r="A57" s="236" t="inlineStr">
        <is>
          <t>Pasiones Lacanianas</t>
        </is>
      </c>
      <c r="B57" s="79" t="n">
        <v>1</v>
      </c>
      <c r="C57" s="68" t="n">
        <v>75</v>
      </c>
      <c r="D57" s="68" t="n">
        <v>75</v>
      </c>
      <c r="E57" s="76" t="n"/>
      <c r="F57" s="135" t="n">
        <v>75</v>
      </c>
      <c r="G57" s="82" t="n"/>
      <c r="H57" s="83" t="n">
        <v>45359</v>
      </c>
      <c r="I57" s="86" t="inlineStr">
        <is>
          <t>PIX</t>
        </is>
      </c>
      <c r="J57" s="136" t="n"/>
      <c r="K57" s="165" t="inlineStr">
        <is>
          <t>Retirou</t>
        </is>
      </c>
    </row>
    <row r="58">
      <c r="A58" s="236" t="inlineStr">
        <is>
          <t>Embrollios del Cuerpo</t>
        </is>
      </c>
      <c r="B58" s="79" t="n">
        <v>1</v>
      </c>
      <c r="C58" s="68" t="n">
        <v>154</v>
      </c>
      <c r="D58" s="68">
        <f>C58</f>
        <v/>
      </c>
      <c r="E58" s="117" t="n"/>
      <c r="F58" s="131" t="n">
        <v>154</v>
      </c>
      <c r="G58" s="69" t="n"/>
      <c r="H58" s="70" t="n">
        <v>45362</v>
      </c>
      <c r="I58" s="86" t="inlineStr">
        <is>
          <t>PIX</t>
        </is>
      </c>
      <c r="J58" s="118" t="n"/>
      <c r="K58" s="165" t="inlineStr">
        <is>
          <t>Retirou</t>
        </is>
      </c>
    </row>
    <row r="59">
      <c r="A59" s="236" t="inlineStr">
        <is>
          <t>Introducccioón a Toxicacomanías y Alcolismo</t>
        </is>
      </c>
      <c r="B59" s="79" t="n">
        <v>1</v>
      </c>
      <c r="C59" s="68" t="n">
        <v>70</v>
      </c>
      <c r="D59" s="68">
        <f>C59</f>
        <v/>
      </c>
      <c r="E59" s="117" t="n"/>
      <c r="F59" s="131">
        <f>D59+E59</f>
        <v/>
      </c>
      <c r="G59" s="69" t="n"/>
      <c r="H59" s="70" t="n">
        <v>45363</v>
      </c>
      <c r="I59" s="86" t="inlineStr">
        <is>
          <t>PIX</t>
        </is>
      </c>
      <c r="J59" s="118" t="n"/>
      <c r="K59" s="165" t="inlineStr">
        <is>
          <t>Retirou</t>
        </is>
      </c>
    </row>
    <row r="60">
      <c r="A60" s="236" t="inlineStr">
        <is>
          <t>Foraclusão</t>
        </is>
      </c>
      <c r="B60" s="79" t="n">
        <v>6</v>
      </c>
      <c r="C60" s="68" t="n">
        <v>77</v>
      </c>
      <c r="D60" s="68">
        <f>C60</f>
        <v/>
      </c>
      <c r="E60" s="117" t="n"/>
      <c r="F60" s="131">
        <f>D60+E60</f>
        <v/>
      </c>
      <c r="G60" s="69" t="n"/>
      <c r="H60" s="70" t="n">
        <v>45363</v>
      </c>
      <c r="I60" s="86" t="inlineStr">
        <is>
          <t>PIX</t>
        </is>
      </c>
      <c r="J60" s="118" t="n"/>
      <c r="K60" s="165" t="inlineStr">
        <is>
          <t>Retirou</t>
        </is>
      </c>
    </row>
    <row r="61">
      <c r="A61" s="236" t="inlineStr">
        <is>
          <t>Embrollios del Cuerpo</t>
        </is>
      </c>
      <c r="B61" s="79" t="n">
        <v>1</v>
      </c>
      <c r="C61" s="68" t="n">
        <v>154</v>
      </c>
      <c r="D61" s="68">
        <f>C61</f>
        <v/>
      </c>
      <c r="E61" s="90" t="n"/>
      <c r="F61" s="131">
        <f>D61+E61</f>
        <v/>
      </c>
      <c r="G61" s="100" t="n"/>
      <c r="H61" s="91" t="n">
        <v>45363</v>
      </c>
      <c r="I61" s="86" t="inlineStr">
        <is>
          <t>PIX</t>
        </is>
      </c>
      <c r="J61" s="125" t="n"/>
      <c r="K61" s="165" t="inlineStr">
        <is>
          <t>Retirou</t>
        </is>
      </c>
    </row>
    <row r="62">
      <c r="A62" s="236" t="inlineStr">
        <is>
          <t>Revista Agente 19</t>
        </is>
      </c>
      <c r="B62" s="79" t="n">
        <v>6</v>
      </c>
      <c r="C62" s="68" t="n">
        <v>259</v>
      </c>
      <c r="D62" s="68">
        <f>C62</f>
        <v/>
      </c>
      <c r="E62" s="88" t="n"/>
      <c r="F62" s="131">
        <f>D62+E62</f>
        <v/>
      </c>
      <c r="G62" s="82" t="n"/>
      <c r="H62" s="83" t="n">
        <v>45363</v>
      </c>
      <c r="I62" s="86" t="inlineStr">
        <is>
          <t>PIX</t>
        </is>
      </c>
      <c r="J62" s="136" t="n"/>
      <c r="K62" s="165" t="inlineStr">
        <is>
          <t>Retirou</t>
        </is>
      </c>
    </row>
    <row r="63">
      <c r="A63" s="236" t="inlineStr">
        <is>
          <t>Introducccioón a Toxicacomanías y Alcolismo</t>
        </is>
      </c>
      <c r="B63" s="79" t="n">
        <v>1</v>
      </c>
      <c r="C63" s="68" t="n">
        <v>70</v>
      </c>
      <c r="D63" s="68">
        <f>C63</f>
        <v/>
      </c>
      <c r="E63" s="90" t="n"/>
      <c r="F63" s="131">
        <f>D63+E63</f>
        <v/>
      </c>
      <c r="G63" s="69" t="n"/>
      <c r="H63" s="91" t="n">
        <v>45363</v>
      </c>
      <c r="I63" s="86" t="inlineStr">
        <is>
          <t>PIX</t>
        </is>
      </c>
      <c r="J63" s="118" t="n"/>
      <c r="K63" s="165" t="inlineStr">
        <is>
          <t>Retirou</t>
        </is>
      </c>
    </row>
    <row r="64">
      <c r="A64" s="236" t="inlineStr">
        <is>
          <t>Pasiones Lacanianas</t>
        </is>
      </c>
      <c r="B64" s="79" t="n">
        <v>1</v>
      </c>
      <c r="C64" s="68" t="n">
        <v>75</v>
      </c>
      <c r="D64" s="68">
        <f>C64</f>
        <v/>
      </c>
      <c r="E64" s="76" t="n"/>
      <c r="F64" s="131">
        <f>D64+E64</f>
        <v/>
      </c>
      <c r="G64" s="69" t="n"/>
      <c r="H64" s="70" t="n">
        <v>45335</v>
      </c>
      <c r="I64" s="86" t="inlineStr">
        <is>
          <t>PIX</t>
        </is>
      </c>
      <c r="J64" s="118" t="n"/>
      <c r="K64" s="165" t="inlineStr">
        <is>
          <t>Retirou</t>
        </is>
      </c>
    </row>
    <row r="65">
      <c r="A65" s="236" t="inlineStr">
        <is>
          <t>Pasiones Lacanianas</t>
        </is>
      </c>
      <c r="B65" s="79" t="n">
        <v>1</v>
      </c>
      <c r="C65" s="68" t="n">
        <v>75</v>
      </c>
      <c r="D65" s="68">
        <f>C65</f>
        <v/>
      </c>
      <c r="E65" s="76" t="n"/>
      <c r="F65" s="131">
        <f>D65+E65</f>
        <v/>
      </c>
      <c r="G65" s="69" t="n"/>
      <c r="H65" s="70" t="n">
        <v>45364</v>
      </c>
      <c r="I65" s="86" t="inlineStr">
        <is>
          <t>PIX</t>
        </is>
      </c>
      <c r="J65" s="118" t="n"/>
      <c r="K65" s="165" t="inlineStr">
        <is>
          <t>Retirou</t>
        </is>
      </c>
    </row>
    <row r="66">
      <c r="A66" s="236" t="inlineStr">
        <is>
          <t>Introducccioón a Toxicacomanías y Alcolismo</t>
        </is>
      </c>
      <c r="B66" s="79" t="n">
        <v>1</v>
      </c>
      <c r="C66" s="68" t="n">
        <v>70</v>
      </c>
      <c r="D66" s="68">
        <f>C66</f>
        <v/>
      </c>
      <c r="E66" s="90" t="n">
        <v>15</v>
      </c>
      <c r="F66" s="131">
        <f>D66+E66</f>
        <v/>
      </c>
      <c r="G66" s="100" t="n"/>
      <c r="H66" s="91" t="n">
        <v>45366</v>
      </c>
      <c r="I66" s="86" t="inlineStr">
        <is>
          <t>PIX</t>
        </is>
      </c>
      <c r="J66" s="125" t="n"/>
      <c r="K66" s="94" t="inlineStr">
        <is>
          <t>Enviou</t>
        </is>
      </c>
    </row>
    <row r="67">
      <c r="A67" s="236" t="inlineStr">
        <is>
          <t>Introducccioón a Toxicacomanías y Alcolismo</t>
        </is>
      </c>
      <c r="B67" s="79" t="n">
        <v>1</v>
      </c>
      <c r="C67" s="68" t="n">
        <v>70</v>
      </c>
      <c r="D67" s="68">
        <f>C67</f>
        <v/>
      </c>
      <c r="E67" s="76" t="n"/>
      <c r="F67" s="131">
        <f>D67+E67</f>
        <v/>
      </c>
      <c r="G67" s="69" t="n"/>
      <c r="H67" s="70" t="n">
        <v>45369</v>
      </c>
      <c r="I67" s="86" t="inlineStr">
        <is>
          <t>PIX</t>
        </is>
      </c>
      <c r="J67" s="118" t="n"/>
      <c r="K67" s="165" t="inlineStr">
        <is>
          <t>Retirou</t>
        </is>
      </c>
    </row>
    <row r="68">
      <c r="A68" s="236" t="inlineStr">
        <is>
          <t>Pasiones Lacanianas</t>
        </is>
      </c>
      <c r="B68" s="79" t="n">
        <v>1</v>
      </c>
      <c r="C68" s="68" t="n">
        <v>75</v>
      </c>
      <c r="D68" s="68">
        <f>C68</f>
        <v/>
      </c>
      <c r="E68" s="76" t="n"/>
      <c r="F68" s="131">
        <f>D68+E68</f>
        <v/>
      </c>
      <c r="G68" s="69" t="n"/>
      <c r="H68" s="70" t="n">
        <v>45369</v>
      </c>
      <c r="I68" s="86" t="inlineStr">
        <is>
          <t>PIX</t>
        </is>
      </c>
      <c r="J68" s="118" t="n"/>
      <c r="K68" s="165" t="inlineStr">
        <is>
          <t>Retirou</t>
        </is>
      </c>
    </row>
    <row r="69">
      <c r="A69" s="236" t="inlineStr">
        <is>
          <t>Foraclusão e Suas Dores</t>
        </is>
      </c>
      <c r="B69" s="79" t="n">
        <v>1</v>
      </c>
      <c r="C69" s="68" t="n">
        <v>77</v>
      </c>
      <c r="D69" s="68">
        <f>C69</f>
        <v/>
      </c>
      <c r="E69" s="76" t="n"/>
      <c r="F69" s="131">
        <f>D69+E69</f>
        <v/>
      </c>
      <c r="G69" s="69" t="n"/>
      <c r="H69" s="70" t="n">
        <v>45369</v>
      </c>
      <c r="I69" s="86" t="inlineStr">
        <is>
          <t>PIX</t>
        </is>
      </c>
      <c r="J69" s="118" t="n"/>
      <c r="K69" s="165" t="inlineStr">
        <is>
          <t>Retirou</t>
        </is>
      </c>
    </row>
    <row r="70">
      <c r="A70" s="236" t="inlineStr">
        <is>
          <t>Introducccioón a Toxicacomanías y Alcolismo</t>
        </is>
      </c>
      <c r="B70" s="79" t="n">
        <v>1</v>
      </c>
      <c r="C70" s="68" t="n">
        <v>70</v>
      </c>
      <c r="D70" s="68">
        <f>C70</f>
        <v/>
      </c>
      <c r="E70" s="76" t="n"/>
      <c r="F70" s="131">
        <f>D70+E70</f>
        <v/>
      </c>
      <c r="G70" s="69" t="n"/>
      <c r="H70" s="70" t="n">
        <v>45369</v>
      </c>
      <c r="I70" s="86" t="inlineStr">
        <is>
          <t>PIX</t>
        </is>
      </c>
      <c r="J70" s="118" t="n"/>
      <c r="K70" s="165" t="inlineStr">
        <is>
          <t>Retirou</t>
        </is>
      </c>
    </row>
    <row r="71">
      <c r="A71" s="236" t="inlineStr">
        <is>
          <t>Introducccioón a Toxicacomanías y Alcolismo</t>
        </is>
      </c>
      <c r="B71" s="79" t="n">
        <v>1</v>
      </c>
      <c r="C71" s="68" t="n">
        <v>70</v>
      </c>
      <c r="D71" s="68">
        <f>C71</f>
        <v/>
      </c>
      <c r="E71" s="76" t="n"/>
      <c r="F71" s="131">
        <f>D71+E71</f>
        <v/>
      </c>
      <c r="G71" s="69" t="n"/>
      <c r="H71" s="70" t="n">
        <v>45373</v>
      </c>
      <c r="I71" s="86" t="inlineStr">
        <is>
          <t>PIX</t>
        </is>
      </c>
      <c r="J71" s="118" t="n"/>
      <c r="K71" s="165" t="inlineStr">
        <is>
          <t>Retirou</t>
        </is>
      </c>
    </row>
    <row r="72">
      <c r="A72" s="236" t="inlineStr">
        <is>
          <t>Clínca da sexuação -Nieves soria Dafuncio</t>
        </is>
      </c>
      <c r="B72" s="79" t="n">
        <v>1</v>
      </c>
      <c r="C72" s="68" t="n">
        <v>40</v>
      </c>
      <c r="D72" s="68">
        <f>C72</f>
        <v/>
      </c>
      <c r="E72" s="150" t="n">
        <v>15</v>
      </c>
      <c r="F72" s="131">
        <f>D72+E72</f>
        <v/>
      </c>
      <c r="G72" s="69" t="n"/>
      <c r="H72" s="70" t="inlineStr">
        <is>
          <t>01/04,2024</t>
        </is>
      </c>
      <c r="I72" s="86" t="inlineStr">
        <is>
          <t>PIX</t>
        </is>
      </c>
      <c r="J72" s="152" t="n"/>
      <c r="K72" s="94" t="inlineStr">
        <is>
          <t>Enviou</t>
        </is>
      </c>
    </row>
    <row r="73">
      <c r="A73" s="236" t="inlineStr">
        <is>
          <t>Introducccioón a Toxicacomanías y Alcolismo</t>
        </is>
      </c>
      <c r="B73" s="79" t="n">
        <v>1</v>
      </c>
      <c r="C73" s="68" t="n">
        <v>70</v>
      </c>
      <c r="D73" s="68" t="n"/>
      <c r="E73" s="90" t="n">
        <v>15</v>
      </c>
      <c r="F73" s="131">
        <f>C73+E73</f>
        <v/>
      </c>
      <c r="G73" s="69" t="n"/>
      <c r="H73" s="70" t="n">
        <v>45384</v>
      </c>
      <c r="I73" s="86" t="inlineStr">
        <is>
          <t>PIX</t>
        </is>
      </c>
      <c r="J73" s="115" t="n"/>
      <c r="K73" s="94" t="inlineStr">
        <is>
          <t>Enviou</t>
        </is>
      </c>
    </row>
    <row r="74">
      <c r="A74" s="236" t="inlineStr">
        <is>
          <t>Introducccioón a Toxicacomanías y Alcolismo</t>
        </is>
      </c>
      <c r="B74" s="79" t="n">
        <v>1</v>
      </c>
      <c r="C74" s="68" t="n">
        <v>70</v>
      </c>
      <c r="D74" s="68" t="n"/>
      <c r="E74" s="90" t="n"/>
      <c r="F74" s="131">
        <f>C74+E74</f>
        <v/>
      </c>
      <c r="G74" s="69" t="n"/>
      <c r="H74" s="70" t="n">
        <v>45384</v>
      </c>
      <c r="I74" s="86" t="inlineStr">
        <is>
          <t>PIX</t>
        </is>
      </c>
      <c r="J74" s="115" t="n"/>
      <c r="K74" s="165" t="inlineStr">
        <is>
          <t>Retirou</t>
        </is>
      </c>
    </row>
    <row r="75">
      <c r="A75" s="236" t="inlineStr">
        <is>
          <t>Introducccioón a Toxicacomanías y Alcolismo</t>
        </is>
      </c>
      <c r="B75" s="79" t="n">
        <v>2</v>
      </c>
      <c r="C75" s="68" t="n">
        <v>70</v>
      </c>
      <c r="D75" s="68" t="n"/>
      <c r="E75" s="90" t="n">
        <v>15</v>
      </c>
      <c r="F75" s="131">
        <f>C75+E75</f>
        <v/>
      </c>
      <c r="G75" s="82" t="n"/>
      <c r="H75" s="70" t="n">
        <v>45384</v>
      </c>
      <c r="I75" s="86" t="inlineStr">
        <is>
          <t>PIX</t>
        </is>
      </c>
      <c r="J75" s="136" t="n"/>
      <c r="K75" s="94" t="inlineStr">
        <is>
          <t>Enviou</t>
        </is>
      </c>
    </row>
    <row r="76">
      <c r="A76" s="236" t="inlineStr">
        <is>
          <t>Introducccioón a Toxicacomanías y Alcolismo</t>
        </is>
      </c>
      <c r="B76" s="79" t="n">
        <v>1</v>
      </c>
      <c r="C76" s="68" t="n">
        <v>70</v>
      </c>
      <c r="D76" s="68" t="n"/>
      <c r="E76" s="109" t="n"/>
      <c r="F76" s="135">
        <f>C76</f>
        <v/>
      </c>
      <c r="G76" s="82" t="n"/>
      <c r="H76" s="83" t="n">
        <v>45384</v>
      </c>
      <c r="I76" s="86" t="inlineStr">
        <is>
          <t>PIX</t>
        </is>
      </c>
      <c r="J76" s="136" t="n"/>
      <c r="K76" s="165" t="inlineStr">
        <is>
          <t>Retirou</t>
        </is>
      </c>
    </row>
    <row r="77">
      <c r="A77" s="236" t="inlineStr">
        <is>
          <t>Introducccioón a Toxicacomanías y Alcolismo</t>
        </is>
      </c>
      <c r="B77" s="79" t="n">
        <v>1</v>
      </c>
      <c r="C77" s="68" t="n">
        <v>210</v>
      </c>
      <c r="D77" s="68" t="n"/>
      <c r="E77" s="109" t="n">
        <v>30</v>
      </c>
      <c r="F77" s="135">
        <f>C77+E77</f>
        <v/>
      </c>
      <c r="G77" s="82" t="n"/>
      <c r="H77" s="83" t="n">
        <v>45384</v>
      </c>
      <c r="I77" s="86" t="inlineStr">
        <is>
          <t>PIX</t>
        </is>
      </c>
      <c r="J77" s="136" t="n"/>
      <c r="K77" s="94" t="inlineStr">
        <is>
          <t>Enviou</t>
        </is>
      </c>
    </row>
    <row r="78">
      <c r="A78" s="236" t="inlineStr">
        <is>
          <t>Introducccioón a Toxicacomanías y Alcolismo</t>
        </is>
      </c>
      <c r="B78" s="79" t="n">
        <v>1</v>
      </c>
      <c r="C78" s="68" t="n">
        <v>70</v>
      </c>
      <c r="D78" s="68" t="n"/>
      <c r="E78" s="90" t="n">
        <v>15</v>
      </c>
      <c r="F78" s="141">
        <f>C78+E78</f>
        <v/>
      </c>
      <c r="G78" s="100" t="n"/>
      <c r="H78" s="91" t="n">
        <v>45384</v>
      </c>
      <c r="I78" s="86" t="inlineStr">
        <is>
          <t>PIX</t>
        </is>
      </c>
      <c r="J78" s="125" t="n"/>
      <c r="K78" s="94" t="inlineStr">
        <is>
          <t>Enviou</t>
        </is>
      </c>
    </row>
    <row r="79">
      <c r="A79" s="236" t="inlineStr">
        <is>
          <t>Introducccioón a Toxicacomanías y Alcolismo</t>
        </is>
      </c>
      <c r="B79" s="79" t="n">
        <v>1</v>
      </c>
      <c r="C79" s="68" t="n">
        <v>70</v>
      </c>
      <c r="D79" s="68" t="n"/>
      <c r="E79" s="117" t="n"/>
      <c r="F79" s="131">
        <f>C79</f>
        <v/>
      </c>
      <c r="G79" s="119" t="n"/>
      <c r="H79" s="120" t="n">
        <v>45384</v>
      </c>
      <c r="I79" s="86" t="inlineStr">
        <is>
          <t>PIX</t>
        </is>
      </c>
      <c r="J79" s="154" t="n"/>
      <c r="K79" s="165" t="inlineStr">
        <is>
          <t>Retirou</t>
        </is>
      </c>
    </row>
    <row r="80">
      <c r="A80" s="236" t="inlineStr">
        <is>
          <t>O Campo Uniano</t>
        </is>
      </c>
      <c r="B80" s="79" t="n">
        <v>1</v>
      </c>
      <c r="C80" s="68" t="n">
        <v>120</v>
      </c>
      <c r="D80" s="68" t="n">
        <v>120</v>
      </c>
      <c r="E80" s="117" t="n"/>
      <c r="F80" s="131">
        <f>D80</f>
        <v/>
      </c>
      <c r="G80" s="119" t="n"/>
      <c r="H80" s="120" t="n">
        <v>45384</v>
      </c>
      <c r="I80" s="86" t="inlineStr">
        <is>
          <t>PIX</t>
        </is>
      </c>
      <c r="J80" s="154" t="n"/>
      <c r="K80" s="165" t="inlineStr">
        <is>
          <t>Retirou</t>
        </is>
      </c>
    </row>
    <row r="81">
      <c r="A81" s="236" t="inlineStr">
        <is>
          <t>Todo mundo é Louco</t>
        </is>
      </c>
      <c r="B81" s="79" t="n">
        <v>1</v>
      </c>
      <c r="C81" s="68" t="n">
        <v>250</v>
      </c>
      <c r="D81" s="68" t="n"/>
      <c r="E81" s="117" t="n"/>
      <c r="F81" s="131">
        <f>C81</f>
        <v/>
      </c>
      <c r="G81" s="119" t="n"/>
      <c r="H81" s="120" t="n">
        <v>45361</v>
      </c>
      <c r="I81" s="86" t="inlineStr">
        <is>
          <t>PIX</t>
        </is>
      </c>
      <c r="J81" s="154" t="n"/>
      <c r="K81" s="165" t="inlineStr">
        <is>
          <t>Retirou</t>
        </is>
      </c>
    </row>
    <row r="82">
      <c r="A82" s="236" t="inlineStr">
        <is>
          <t>Revista Agente 19 (consignação 70%)</t>
        </is>
      </c>
      <c r="B82" s="79" t="n">
        <v>6</v>
      </c>
      <c r="C82" s="68" t="n">
        <v>210</v>
      </c>
      <c r="D82" s="68" t="n"/>
      <c r="E82" s="117" t="n"/>
      <c r="F82" s="131">
        <f>C82</f>
        <v/>
      </c>
      <c r="G82" s="119" t="n"/>
      <c r="H82" s="120" t="n">
        <v>45363</v>
      </c>
      <c r="I82" s="86" t="inlineStr">
        <is>
          <t>PIX</t>
        </is>
      </c>
      <c r="J82" s="154" t="n"/>
      <c r="K82" s="165" t="inlineStr">
        <is>
          <t>Enviou</t>
        </is>
      </c>
    </row>
    <row r="83">
      <c r="A83" s="236" t="inlineStr">
        <is>
          <t>Revista Agente 20 (consignação 70%)</t>
        </is>
      </c>
      <c r="B83" s="79" t="n">
        <v>1</v>
      </c>
      <c r="C83" s="68" t="n">
        <v>49</v>
      </c>
      <c r="D83" s="68" t="n"/>
      <c r="E83" s="117" t="n"/>
      <c r="F83" s="131">
        <f>C83</f>
        <v/>
      </c>
      <c r="G83" s="119" t="n"/>
      <c r="H83" s="120" t="n">
        <v>45363</v>
      </c>
      <c r="I83" s="86" t="inlineStr">
        <is>
          <t>pix</t>
        </is>
      </c>
      <c r="J83" s="154" t="n"/>
      <c r="K83" s="165" t="inlineStr">
        <is>
          <t>Retirou</t>
        </is>
      </c>
    </row>
    <row r="84">
      <c r="A84" s="236" t="inlineStr">
        <is>
          <t>Todo mundo é Louco</t>
        </is>
      </c>
      <c r="B84" s="79" t="n">
        <v>1</v>
      </c>
      <c r="C84" s="68" t="n">
        <v>250</v>
      </c>
      <c r="D84" s="68" t="n"/>
      <c r="E84" s="117" t="n"/>
      <c r="F84" s="131">
        <f>C84</f>
        <v/>
      </c>
      <c r="G84" s="119" t="n"/>
      <c r="H84" s="120" t="n">
        <v>45384</v>
      </c>
      <c r="I84" s="86" t="inlineStr">
        <is>
          <t>PIX</t>
        </is>
      </c>
      <c r="J84" s="154" t="n"/>
      <c r="K84" s="165" t="inlineStr">
        <is>
          <t>Retirou</t>
        </is>
      </c>
    </row>
    <row r="85">
      <c r="A85" s="236" t="inlineStr">
        <is>
          <t>El Obsesivo y su desperatr</t>
        </is>
      </c>
      <c r="B85" s="79" t="n">
        <v>1</v>
      </c>
      <c r="C85" s="68" t="n">
        <v>80</v>
      </c>
      <c r="D85" s="68" t="n">
        <v>80</v>
      </c>
      <c r="E85" s="117" t="n"/>
      <c r="F85" s="135">
        <f>D85</f>
        <v/>
      </c>
      <c r="G85" s="82" t="n"/>
      <c r="H85" s="83" t="inlineStr">
        <is>
          <t>03//04/2024</t>
        </is>
      </c>
      <c r="I85" s="86" t="inlineStr">
        <is>
          <t>PIX</t>
        </is>
      </c>
      <c r="J85" s="136" t="n"/>
      <c r="K85" s="165" t="inlineStr">
        <is>
          <t>Retirou</t>
        </is>
      </c>
    </row>
    <row r="86">
      <c r="A86" s="236" t="inlineStr">
        <is>
          <t>El rechazo de lo femenino</t>
        </is>
      </c>
      <c r="B86" s="79" t="n">
        <v>5</v>
      </c>
      <c r="C86" s="68" t="n">
        <v>75</v>
      </c>
      <c r="D86" s="68" t="n">
        <v>75</v>
      </c>
      <c r="E86" s="117" t="n"/>
      <c r="F86" s="131">
        <f>D86</f>
        <v/>
      </c>
      <c r="G86" s="69" t="n"/>
      <c r="H86" s="91" t="n">
        <v>45385</v>
      </c>
      <c r="I86" s="86" t="inlineStr">
        <is>
          <t>PIX</t>
        </is>
      </c>
      <c r="J86" s="125" t="n"/>
      <c r="K86" s="165" t="inlineStr">
        <is>
          <t>Retirou</t>
        </is>
      </c>
    </row>
    <row r="87">
      <c r="A87" s="236" t="inlineStr">
        <is>
          <t>Los Pacientes de Freud</t>
        </is>
      </c>
      <c r="B87" s="79" t="n">
        <v>1</v>
      </c>
      <c r="C87" s="68" t="n">
        <v>100</v>
      </c>
      <c r="D87" s="68" t="n">
        <v>100</v>
      </c>
      <c r="E87" s="76" t="n"/>
      <c r="F87" s="131">
        <f>-D87</f>
        <v/>
      </c>
      <c r="G87" s="69" t="n"/>
      <c r="H87" s="70" t="n">
        <v>45385</v>
      </c>
      <c r="I87" s="86" t="inlineStr">
        <is>
          <t>PIX</t>
        </is>
      </c>
      <c r="J87" s="118" t="n"/>
      <c r="K87" s="165" t="inlineStr">
        <is>
          <t>Retirou</t>
        </is>
      </c>
    </row>
    <row r="88">
      <c r="A88" s="236" t="inlineStr">
        <is>
          <t>Porvenir del AUTISMO</t>
        </is>
      </c>
      <c r="B88" s="79" t="n">
        <v>1</v>
      </c>
      <c r="C88" s="68" t="n">
        <v>120</v>
      </c>
      <c r="D88" s="68" t="n">
        <v>120</v>
      </c>
      <c r="E88" s="76" t="n"/>
      <c r="F88" s="131">
        <f>D88</f>
        <v/>
      </c>
      <c r="G88" s="69" t="n"/>
      <c r="H88" s="70" t="n">
        <v>45385</v>
      </c>
      <c r="I88" s="86" t="inlineStr">
        <is>
          <t>PIX</t>
        </is>
      </c>
      <c r="J88" s="118" t="n"/>
      <c r="K88" s="165" t="inlineStr">
        <is>
          <t>Retirou</t>
        </is>
      </c>
    </row>
    <row r="89">
      <c r="A89" s="236" t="inlineStr">
        <is>
          <t>Introducccioón a Toxicacomanías y Alcolismo</t>
        </is>
      </c>
      <c r="B89" s="79" t="n">
        <v>1</v>
      </c>
      <c r="C89" s="68" t="n">
        <v>70</v>
      </c>
      <c r="D89" s="68" t="n">
        <v>70</v>
      </c>
      <c r="E89" s="76" t="n"/>
      <c r="F89" s="131">
        <f>D89</f>
        <v/>
      </c>
      <c r="G89" s="69" t="n"/>
      <c r="H89" s="70" t="n">
        <v>45384</v>
      </c>
      <c r="I89" s="86" t="inlineStr">
        <is>
          <t>PIX</t>
        </is>
      </c>
      <c r="J89" s="118" t="n"/>
      <c r="K89" s="165" t="inlineStr">
        <is>
          <t>Retirou</t>
        </is>
      </c>
    </row>
    <row r="90">
      <c r="A90" s="236" t="inlineStr">
        <is>
          <t>Introducccioón a Toxicacomanías y Alcolismo</t>
        </is>
      </c>
      <c r="B90" s="79" t="n">
        <v>6</v>
      </c>
      <c r="C90" s="68" t="n">
        <v>70</v>
      </c>
      <c r="D90" s="68" t="n">
        <v>70</v>
      </c>
      <c r="E90" s="76" t="n">
        <v>15</v>
      </c>
      <c r="F90" s="131">
        <f>D90+E90</f>
        <v/>
      </c>
      <c r="G90" s="69" t="n"/>
      <c r="H90" s="70" t="n">
        <v>45384</v>
      </c>
      <c r="I90" s="86" t="inlineStr">
        <is>
          <t>PIX</t>
        </is>
      </c>
      <c r="J90" s="118" t="n"/>
      <c r="K90" s="94" t="inlineStr">
        <is>
          <t>Enviou</t>
        </is>
      </c>
    </row>
    <row r="91">
      <c r="A91" s="236" t="inlineStr">
        <is>
          <t>Introducccioón a Toxicacomanías y Alcolismo</t>
        </is>
      </c>
      <c r="B91" s="79" t="n">
        <v>6</v>
      </c>
      <c r="C91" s="68" t="n">
        <v>70</v>
      </c>
      <c r="D91" s="68" t="n">
        <v>70</v>
      </c>
      <c r="E91" s="88" t="n"/>
      <c r="F91" s="135">
        <f>D91</f>
        <v/>
      </c>
      <c r="G91" s="82" t="n"/>
      <c r="H91" s="83" t="n">
        <v>45385</v>
      </c>
      <c r="I91" s="86" t="inlineStr">
        <is>
          <t>PIX</t>
        </is>
      </c>
      <c r="J91" s="136" t="n"/>
      <c r="K91" s="84" t="inlineStr">
        <is>
          <t>Retirou</t>
        </is>
      </c>
    </row>
    <row r="92">
      <c r="A92" s="236" t="inlineStr">
        <is>
          <t>El Obsesivo y su desperatr</t>
        </is>
      </c>
      <c r="B92" s="79" t="n">
        <v>1</v>
      </c>
      <c r="C92" s="68" t="n">
        <v>80</v>
      </c>
      <c r="D92" s="68" t="n">
        <v>80</v>
      </c>
      <c r="E92" s="117" t="n"/>
      <c r="F92" s="135">
        <f>D92</f>
        <v/>
      </c>
      <c r="G92" s="82" t="n"/>
      <c r="H92" s="83" t="n">
        <v>45387</v>
      </c>
      <c r="I92" s="86" t="inlineStr">
        <is>
          <t>PIX</t>
        </is>
      </c>
      <c r="J92" s="136" t="n"/>
      <c r="K92" s="84" t="inlineStr">
        <is>
          <t>Retirou</t>
        </is>
      </c>
    </row>
    <row r="93">
      <c r="A93" s="236" t="inlineStr">
        <is>
          <t>El rechazo de lo femenino</t>
        </is>
      </c>
      <c r="B93" s="79" t="n">
        <v>1</v>
      </c>
      <c r="C93" s="68" t="n">
        <v>75</v>
      </c>
      <c r="D93" s="68" t="n">
        <v>75</v>
      </c>
      <c r="E93" s="117" t="n"/>
      <c r="F93" s="131">
        <f>D93</f>
        <v/>
      </c>
      <c r="G93" s="69" t="n"/>
      <c r="H93" s="83" t="n">
        <v>45387</v>
      </c>
      <c r="I93" s="86" t="inlineStr">
        <is>
          <t>PIX</t>
        </is>
      </c>
      <c r="J93" s="136" t="n"/>
      <c r="K93" s="84" t="inlineStr">
        <is>
          <t>Retirou</t>
        </is>
      </c>
    </row>
    <row r="94">
      <c r="A94" s="236" t="inlineStr">
        <is>
          <t>Los Pacientes de Freud</t>
        </is>
      </c>
      <c r="B94" s="79" t="n">
        <v>1</v>
      </c>
      <c r="C94" s="68" t="n">
        <v>100</v>
      </c>
      <c r="D94" s="68" t="n">
        <v>100</v>
      </c>
      <c r="E94" s="76" t="n"/>
      <c r="F94" s="131">
        <f>-D94</f>
        <v/>
      </c>
      <c r="G94" s="69" t="n"/>
      <c r="H94" s="83" t="n">
        <v>45387</v>
      </c>
      <c r="I94" s="86" t="inlineStr">
        <is>
          <t>PIX</t>
        </is>
      </c>
      <c r="J94" s="136" t="n"/>
      <c r="K94" s="84" t="inlineStr">
        <is>
          <t>Retirou</t>
        </is>
      </c>
    </row>
    <row r="95">
      <c r="A95" s="236" t="inlineStr">
        <is>
          <t>Introducccioón a Toxicacomanías y Alcolismo</t>
        </is>
      </c>
      <c r="B95" s="79" t="n">
        <v>1</v>
      </c>
      <c r="C95" s="68" t="n">
        <v>70</v>
      </c>
      <c r="D95" s="68" t="n">
        <v>70</v>
      </c>
      <c r="E95" s="76" t="n"/>
      <c r="F95" s="131" t="n">
        <v>70</v>
      </c>
      <c r="G95" s="69" t="n"/>
      <c r="H95" s="70" t="n">
        <v>45387</v>
      </c>
      <c r="I95" s="86" t="inlineStr">
        <is>
          <t>PIX</t>
        </is>
      </c>
      <c r="J95" s="118" t="n"/>
      <c r="K95" s="84" t="inlineStr">
        <is>
          <t>Retirou</t>
        </is>
      </c>
    </row>
    <row r="96">
      <c r="A96" s="236" t="inlineStr">
        <is>
          <t>Foraclusão e Suas Dores</t>
        </is>
      </c>
      <c r="B96" s="79" t="n">
        <v>1</v>
      </c>
      <c r="C96" s="68" t="n">
        <v>77</v>
      </c>
      <c r="D96" s="68" t="n">
        <v>77</v>
      </c>
      <c r="E96" s="88" t="n"/>
      <c r="F96" s="135">
        <f>D96</f>
        <v/>
      </c>
      <c r="G96" s="82" t="n"/>
      <c r="H96" s="83" t="n">
        <v>45399</v>
      </c>
      <c r="I96" s="86" t="inlineStr">
        <is>
          <t>PIX</t>
        </is>
      </c>
      <c r="J96" s="136" t="n"/>
      <c r="K96" s="84" t="inlineStr">
        <is>
          <t>Retirou</t>
        </is>
      </c>
    </row>
    <row r="97">
      <c r="A97" s="236" t="inlineStr">
        <is>
          <t>Introducccioón a Toxicacomanías y Alcolismo</t>
        </is>
      </c>
      <c r="B97" s="79" t="n">
        <v>1</v>
      </c>
      <c r="C97" s="68" t="n">
        <v>70</v>
      </c>
      <c r="D97" s="68" t="n">
        <v>70</v>
      </c>
      <c r="E97" s="76" t="n"/>
      <c r="F97" s="135">
        <f>D97</f>
        <v/>
      </c>
      <c r="G97" s="69" t="n"/>
      <c r="H97" s="70" t="n">
        <v>45399</v>
      </c>
      <c r="I97" s="86" t="inlineStr">
        <is>
          <t>PIX</t>
        </is>
      </c>
      <c r="J97" s="118" t="n"/>
      <c r="K97" s="84" t="inlineStr">
        <is>
          <t>Retirou</t>
        </is>
      </c>
    </row>
    <row r="98">
      <c r="A98" s="236" t="inlineStr">
        <is>
          <t>Introducccioón a Toxicacomanías y Alcolismo</t>
        </is>
      </c>
      <c r="B98" s="79" t="n">
        <v>1</v>
      </c>
      <c r="C98" s="68" t="n">
        <v>70</v>
      </c>
      <c r="D98" s="68" t="n">
        <v>70</v>
      </c>
      <c r="E98" s="76" t="n"/>
      <c r="F98" s="131">
        <f>D98</f>
        <v/>
      </c>
      <c r="G98" s="69" t="n"/>
      <c r="H98" s="70" t="n">
        <v>45400</v>
      </c>
      <c r="I98" s="86" t="inlineStr">
        <is>
          <t>PIX</t>
        </is>
      </c>
      <c r="J98" s="118" t="n"/>
      <c r="K98" s="165" t="inlineStr">
        <is>
          <t>Retirou</t>
        </is>
      </c>
    </row>
    <row r="99">
      <c r="A99" s="236" t="inlineStr">
        <is>
          <t>A Morte de Si</t>
        </is>
      </c>
      <c r="B99" s="79" t="n">
        <v>1</v>
      </c>
      <c r="C99" s="68" t="n">
        <v>78</v>
      </c>
      <c r="D99" s="68" t="n">
        <v>78</v>
      </c>
      <c r="E99" s="76" t="n"/>
      <c r="F99" s="131">
        <f>D99</f>
        <v/>
      </c>
      <c r="G99" s="69" t="n"/>
      <c r="H99" s="70" t="n">
        <v>45401</v>
      </c>
      <c r="I99" s="86" t="inlineStr">
        <is>
          <t>PIX</t>
        </is>
      </c>
      <c r="J99" s="118" t="n"/>
      <c r="K99" s="165" t="inlineStr">
        <is>
          <t>Retirou</t>
        </is>
      </c>
    </row>
    <row r="100">
      <c r="A100" s="236" t="inlineStr">
        <is>
          <t>Introducccioón a Toxicacomanías y Alcolismo</t>
        </is>
      </c>
      <c r="B100" s="79" t="n">
        <v>1</v>
      </c>
      <c r="C100" s="68" t="n">
        <v>70</v>
      </c>
      <c r="D100" s="68" t="n">
        <v>70</v>
      </c>
      <c r="E100" s="76" t="n"/>
      <c r="F100" s="131">
        <f>D100</f>
        <v/>
      </c>
      <c r="G100" s="69" t="n"/>
      <c r="H100" s="70" t="n">
        <v>45404</v>
      </c>
      <c r="I100" s="86" t="inlineStr">
        <is>
          <t>PIX</t>
        </is>
      </c>
      <c r="J100" s="118" t="n"/>
      <c r="K100" s="165" t="inlineStr">
        <is>
          <t>Retirou</t>
        </is>
      </c>
    </row>
    <row r="101">
      <c r="A101" s="236" t="inlineStr">
        <is>
          <t>A Morte de Si</t>
        </is>
      </c>
      <c r="B101" s="79" t="n">
        <v>1</v>
      </c>
      <c r="C101" s="68" t="n">
        <v>75</v>
      </c>
      <c r="D101" s="68" t="n">
        <v>75</v>
      </c>
      <c r="E101" s="76" t="n"/>
      <c r="F101" s="131">
        <f>D101</f>
        <v/>
      </c>
      <c r="G101" s="69" t="n"/>
      <c r="H101" s="70" t="n">
        <v>45404</v>
      </c>
      <c r="I101" s="86" t="inlineStr">
        <is>
          <t>PIX</t>
        </is>
      </c>
      <c r="J101" s="118" t="n"/>
      <c r="K101" s="165" t="inlineStr">
        <is>
          <t>Retirou</t>
        </is>
      </c>
    </row>
    <row r="102">
      <c r="A102" s="236" t="inlineStr">
        <is>
          <t>A Morte de SI</t>
        </is>
      </c>
      <c r="B102" s="79" t="n">
        <v>1</v>
      </c>
      <c r="C102" s="68" t="n">
        <v>78</v>
      </c>
      <c r="D102" s="68" t="n">
        <v>78</v>
      </c>
      <c r="E102" s="76" t="n"/>
      <c r="F102" s="131">
        <f>D102</f>
        <v/>
      </c>
      <c r="G102" s="69" t="n"/>
      <c r="H102" s="70" t="n">
        <v>45407</v>
      </c>
      <c r="I102" s="86" t="inlineStr">
        <is>
          <t>PIX</t>
        </is>
      </c>
      <c r="J102" s="118" t="n"/>
      <c r="K102" s="165" t="inlineStr">
        <is>
          <t>Retirou</t>
        </is>
      </c>
    </row>
    <row r="103">
      <c r="A103" s="236" t="inlineStr">
        <is>
          <t>Felicidade e Sintoma</t>
        </is>
      </c>
      <c r="B103" s="79" t="n">
        <v>1</v>
      </c>
      <c r="C103" s="68" t="n">
        <v>42</v>
      </c>
      <c r="D103" s="68">
        <f>C103</f>
        <v/>
      </c>
      <c r="E103" s="117" t="n"/>
      <c r="F103" s="135">
        <f>D103</f>
        <v/>
      </c>
      <c r="G103" s="82" t="n"/>
      <c r="H103" s="70" t="n">
        <v>45415</v>
      </c>
      <c r="I103" s="86" t="inlineStr">
        <is>
          <t>PIX</t>
        </is>
      </c>
      <c r="J103" s="118" t="n"/>
      <c r="K103" s="165" t="inlineStr">
        <is>
          <t>Retirou</t>
        </is>
      </c>
    </row>
    <row r="104">
      <c r="A104" s="236" t="inlineStr">
        <is>
          <t>A Morte de SI</t>
        </is>
      </c>
      <c r="B104" s="79" t="n">
        <v>1</v>
      </c>
      <c r="C104" s="68" t="n">
        <v>78</v>
      </c>
      <c r="D104" s="68">
        <f>C104</f>
        <v/>
      </c>
      <c r="E104" s="117" t="n"/>
      <c r="F104" s="131">
        <f>D104</f>
        <v/>
      </c>
      <c r="G104" s="69" t="n"/>
      <c r="H104" s="70" t="n">
        <v>45415</v>
      </c>
      <c r="I104" s="79" t="inlineStr">
        <is>
          <t>PIX</t>
        </is>
      </c>
      <c r="J104" s="118" t="n"/>
      <c r="K104" s="165" t="inlineStr">
        <is>
          <t>Retirou</t>
        </is>
      </c>
    </row>
    <row r="105">
      <c r="A105" s="236" t="inlineStr">
        <is>
          <t>A Morte de SI</t>
        </is>
      </c>
      <c r="B105" s="79" t="n">
        <v>1</v>
      </c>
      <c r="C105" s="68" t="n">
        <v>78</v>
      </c>
      <c r="D105" s="68">
        <f>C105</f>
        <v/>
      </c>
      <c r="E105" s="117" t="n"/>
      <c r="F105" s="131">
        <f>D105</f>
        <v/>
      </c>
      <c r="G105" s="69" t="n"/>
      <c r="H105" s="70" t="n">
        <v>45415</v>
      </c>
      <c r="I105" s="79" t="inlineStr">
        <is>
          <t>PIX</t>
        </is>
      </c>
      <c r="J105" s="125" t="n"/>
      <c r="K105" s="165" t="inlineStr">
        <is>
          <t>Retirou</t>
        </is>
      </c>
    </row>
    <row r="106">
      <c r="A106" s="236" t="inlineStr">
        <is>
          <t>Introducccioón a Toxicacomanías y Alcolismo</t>
        </is>
      </c>
      <c r="B106" s="79" t="n">
        <v>1</v>
      </c>
      <c r="C106" s="68" t="n">
        <v>70</v>
      </c>
      <c r="D106" s="68">
        <f>C106</f>
        <v/>
      </c>
      <c r="E106" s="117" t="n">
        <v>15</v>
      </c>
      <c r="F106" s="131">
        <f>D106+E106</f>
        <v/>
      </c>
      <c r="G106" s="69" t="n"/>
      <c r="H106" s="91" t="n">
        <v>45421</v>
      </c>
      <c r="I106" s="79" t="inlineStr">
        <is>
          <t>PIX</t>
        </is>
      </c>
      <c r="J106" s="125" t="n"/>
      <c r="K106" s="94" t="inlineStr">
        <is>
          <t>Enviou</t>
        </is>
      </c>
    </row>
    <row r="107">
      <c r="A107" s="236" t="inlineStr">
        <is>
          <t>Felicidade e Sintoma</t>
        </is>
      </c>
      <c r="B107" s="79" t="n">
        <v>1</v>
      </c>
      <c r="C107" s="68" t="n">
        <v>42</v>
      </c>
      <c r="D107" s="68">
        <f>C107</f>
        <v/>
      </c>
      <c r="E107" s="90" t="n"/>
      <c r="F107" s="131">
        <f>D107</f>
        <v/>
      </c>
      <c r="G107" s="69" t="n"/>
      <c r="H107" s="91" t="n">
        <v>45422</v>
      </c>
      <c r="I107" s="79" t="inlineStr">
        <is>
          <t>PIX</t>
        </is>
      </c>
      <c r="J107" s="125" t="n"/>
      <c r="K107" s="94" t="inlineStr">
        <is>
          <t>Retirou</t>
        </is>
      </c>
    </row>
    <row r="108">
      <c r="A108" s="236" t="inlineStr">
        <is>
          <t>A Morte de SI</t>
        </is>
      </c>
      <c r="B108" s="79" t="n">
        <v>1</v>
      </c>
      <c r="C108" s="68" t="n">
        <v>75</v>
      </c>
      <c r="D108" s="68">
        <f>C108</f>
        <v/>
      </c>
      <c r="E108" s="90" t="n">
        <v>15</v>
      </c>
      <c r="F108" s="131">
        <f>D108+E108</f>
        <v/>
      </c>
      <c r="G108" s="69" t="n"/>
      <c r="H108" s="91" t="n">
        <v>45425</v>
      </c>
      <c r="I108" s="93" t="inlineStr">
        <is>
          <t>PIX</t>
        </is>
      </c>
      <c r="J108" s="125" t="n"/>
      <c r="K108" s="94" t="inlineStr">
        <is>
          <t>Enviou</t>
        </is>
      </c>
    </row>
    <row r="109">
      <c r="A109" s="236" t="inlineStr">
        <is>
          <t>O Campo Uniano</t>
        </is>
      </c>
      <c r="B109" s="79" t="n">
        <v>1</v>
      </c>
      <c r="C109" s="68" t="n">
        <v>120</v>
      </c>
      <c r="D109" s="68">
        <f>C109</f>
        <v/>
      </c>
      <c r="E109" s="76" t="n">
        <v>15</v>
      </c>
      <c r="F109" s="131">
        <f>D109+E109</f>
        <v/>
      </c>
      <c r="G109" s="69" t="n"/>
      <c r="H109" s="70" t="n">
        <v>45426</v>
      </c>
      <c r="I109" s="93" t="inlineStr">
        <is>
          <t>PIX</t>
        </is>
      </c>
      <c r="J109" s="118" t="n"/>
      <c r="K109" s="165" t="inlineStr">
        <is>
          <t>Enviou</t>
        </is>
      </c>
    </row>
    <row r="110">
      <c r="A110" s="236" t="inlineStr">
        <is>
          <t>El Sinsentido del Sintoma</t>
        </is>
      </c>
      <c r="B110" s="79" t="n">
        <v>1</v>
      </c>
      <c r="C110" s="68" t="n">
        <v>95</v>
      </c>
      <c r="D110" s="68">
        <f>C110</f>
        <v/>
      </c>
      <c r="E110" s="76" t="n"/>
      <c r="F110" s="131">
        <f>D110+E110</f>
        <v/>
      </c>
      <c r="G110" s="100" t="n"/>
      <c r="H110" s="91" t="n">
        <v>45426</v>
      </c>
      <c r="I110" s="93" t="inlineStr">
        <is>
          <t>PIX</t>
        </is>
      </c>
      <c r="J110" s="125" t="n"/>
      <c r="K110" s="94" t="inlineStr">
        <is>
          <t>Retirou</t>
        </is>
      </c>
    </row>
    <row r="111">
      <c r="A111" s="236" t="inlineStr">
        <is>
          <t>El Sinsentido del Sintoma</t>
        </is>
      </c>
      <c r="B111" s="79" t="n">
        <v>1</v>
      </c>
      <c r="C111" s="68" t="n">
        <v>95</v>
      </c>
      <c r="D111" s="68">
        <f>C111</f>
        <v/>
      </c>
      <c r="E111" s="76" t="n"/>
      <c r="F111" s="131">
        <f>D111+E111</f>
        <v/>
      </c>
      <c r="G111" s="100" t="n"/>
      <c r="H111" s="91" t="n">
        <v>45426</v>
      </c>
      <c r="I111" s="93" t="inlineStr">
        <is>
          <t>PIX</t>
        </is>
      </c>
      <c r="J111" s="125" t="n"/>
      <c r="K111" s="94" t="inlineStr">
        <is>
          <t>Retirou</t>
        </is>
      </c>
    </row>
    <row r="112">
      <c r="A112" s="236" t="inlineStr">
        <is>
          <t>A Morte de SI</t>
        </is>
      </c>
      <c r="B112" s="79" t="n">
        <v>7</v>
      </c>
      <c r="C112" s="68" t="n">
        <v>78</v>
      </c>
      <c r="D112" s="68">
        <f>C112</f>
        <v/>
      </c>
      <c r="E112" s="76" t="n"/>
      <c r="F112" s="131">
        <f>D112+E112</f>
        <v/>
      </c>
      <c r="G112" s="100" t="n"/>
      <c r="H112" s="120" t="n">
        <v>45397</v>
      </c>
      <c r="I112" s="93" t="inlineStr">
        <is>
          <t>PIX</t>
        </is>
      </c>
      <c r="J112" s="125" t="n"/>
      <c r="K112" s="94" t="inlineStr">
        <is>
          <t>Retirou</t>
        </is>
      </c>
    </row>
    <row r="113">
      <c r="A113" s="236" t="inlineStr">
        <is>
          <t>O Feminino In familiar</t>
        </is>
      </c>
      <c r="B113" s="79" t="n">
        <v>1</v>
      </c>
      <c r="C113" s="68" t="n">
        <v>55</v>
      </c>
      <c r="D113" s="68">
        <f>C113</f>
        <v/>
      </c>
      <c r="E113" s="76" t="n"/>
      <c r="F113" s="131">
        <f>D113+E113</f>
        <v/>
      </c>
      <c r="G113" s="100" t="n"/>
      <c r="H113" s="120" t="n">
        <v>45397</v>
      </c>
      <c r="I113" s="93" t="inlineStr">
        <is>
          <t>PIX</t>
        </is>
      </c>
      <c r="J113" s="125" t="n"/>
      <c r="K113" s="94" t="inlineStr">
        <is>
          <t>Retirou</t>
        </is>
      </c>
    </row>
    <row r="114">
      <c r="A114" s="236" t="inlineStr">
        <is>
          <t>Femenino in Familiar</t>
        </is>
      </c>
      <c r="B114" s="79" t="n">
        <v>1</v>
      </c>
      <c r="C114" s="68" t="n">
        <v>55</v>
      </c>
      <c r="D114" s="68">
        <f>C114</f>
        <v/>
      </c>
      <c r="E114" s="76" t="n"/>
      <c r="F114" s="131">
        <f>D114+E114</f>
        <v/>
      </c>
      <c r="G114" s="69" t="n"/>
      <c r="H114" s="83" t="n">
        <v>45430</v>
      </c>
      <c r="I114" s="93" t="inlineStr">
        <is>
          <t>PIX</t>
        </is>
      </c>
      <c r="J114" s="118" t="n"/>
      <c r="K114" s="94" t="inlineStr">
        <is>
          <t>Retirou</t>
        </is>
      </c>
    </row>
    <row r="115">
      <c r="A115" s="236" t="inlineStr">
        <is>
          <t>O Campo Uniano</t>
        </is>
      </c>
      <c r="B115" s="79" t="n">
        <v>2</v>
      </c>
      <c r="C115" s="68" t="n">
        <v>120</v>
      </c>
      <c r="D115" s="68">
        <f>C115</f>
        <v/>
      </c>
      <c r="E115" s="76" t="n"/>
      <c r="F115" s="131">
        <f>B115*C115</f>
        <v/>
      </c>
      <c r="G115" s="69" t="n"/>
      <c r="H115" s="83" t="n">
        <v>45430</v>
      </c>
      <c r="I115" s="93" t="inlineStr">
        <is>
          <t>PIX</t>
        </is>
      </c>
      <c r="J115" s="118" t="n"/>
      <c r="K115" s="94" t="inlineStr">
        <is>
          <t>Retirou</t>
        </is>
      </c>
    </row>
    <row r="116">
      <c r="A116" s="236" t="inlineStr">
        <is>
          <t>O Feminino no Extravio do Falo</t>
        </is>
      </c>
      <c r="B116" s="79" t="n">
        <v>1</v>
      </c>
      <c r="C116" s="68" t="n">
        <v>70</v>
      </c>
      <c r="D116" s="68">
        <f>C116</f>
        <v/>
      </c>
      <c r="E116" s="76" t="n"/>
      <c r="F116" s="131">
        <f>B116*C116</f>
        <v/>
      </c>
      <c r="G116" s="69" t="n"/>
      <c r="H116" s="83" t="n">
        <v>45430</v>
      </c>
      <c r="I116" s="93" t="inlineStr">
        <is>
          <t>PIX</t>
        </is>
      </c>
      <c r="J116" s="118" t="n"/>
      <c r="K116" s="94" t="inlineStr">
        <is>
          <t>Retirou</t>
        </is>
      </c>
    </row>
    <row r="117">
      <c r="A117" s="236" t="inlineStr">
        <is>
          <t xml:space="preserve">A morte de Si </t>
        </is>
      </c>
      <c r="B117" s="79" t="n">
        <v>1</v>
      </c>
      <c r="C117" s="68" t="n">
        <v>78</v>
      </c>
      <c r="D117" s="68">
        <f>C117</f>
        <v/>
      </c>
      <c r="E117" s="90" t="n"/>
      <c r="F117" s="141">
        <f>D117+E117</f>
        <v/>
      </c>
      <c r="G117" s="100" t="n"/>
      <c r="H117" s="91" t="n">
        <v>45430</v>
      </c>
      <c r="I117" s="93" t="inlineStr">
        <is>
          <t>PIX</t>
        </is>
      </c>
      <c r="J117" s="125" t="n"/>
      <c r="K117" s="94" t="inlineStr">
        <is>
          <t>Retirou</t>
        </is>
      </c>
    </row>
    <row r="118">
      <c r="A118" s="236" t="inlineStr">
        <is>
          <t>Violência nas Escolas</t>
        </is>
      </c>
      <c r="B118" s="79" t="n">
        <v>1</v>
      </c>
      <c r="C118" s="68" t="n">
        <v>85</v>
      </c>
      <c r="D118" s="68">
        <f>C118</f>
        <v/>
      </c>
      <c r="E118" s="76" t="n"/>
      <c r="F118" s="131">
        <f>D118</f>
        <v/>
      </c>
      <c r="G118" s="69" t="n"/>
      <c r="H118" s="83" t="n">
        <v>45434</v>
      </c>
      <c r="I118" s="93" t="inlineStr">
        <is>
          <t>PIX</t>
        </is>
      </c>
      <c r="J118" s="118" t="n"/>
      <c r="K118" s="165" t="inlineStr">
        <is>
          <t>Retirou</t>
        </is>
      </c>
    </row>
    <row r="119">
      <c r="A119" s="236" t="inlineStr">
        <is>
          <t>Monólogo Compartido com La locura</t>
        </is>
      </c>
      <c r="B119" s="79" t="n">
        <v>1</v>
      </c>
      <c r="C119" s="68" t="n">
        <v>90</v>
      </c>
      <c r="D119" s="68">
        <f>C119</f>
        <v/>
      </c>
      <c r="E119" s="76" t="n"/>
      <c r="F119" s="131">
        <f>D119</f>
        <v/>
      </c>
      <c r="G119" s="69" t="n"/>
      <c r="H119" s="83" t="n">
        <v>45434</v>
      </c>
      <c r="I119" s="93" t="inlineStr">
        <is>
          <t>PIX</t>
        </is>
      </c>
      <c r="J119" s="118" t="n"/>
      <c r="K119" s="165" t="inlineStr">
        <is>
          <t>Retirou</t>
        </is>
      </c>
    </row>
    <row r="120">
      <c r="A120" s="236" t="inlineStr">
        <is>
          <t>Felicidade e Sintoma</t>
        </is>
      </c>
      <c r="B120" s="79" t="n">
        <v>1</v>
      </c>
      <c r="C120" s="68" t="n">
        <v>42</v>
      </c>
      <c r="D120" s="68">
        <f>C120</f>
        <v/>
      </c>
      <c r="E120" s="76" t="n"/>
      <c r="F120" s="131" t="n">
        <v>42</v>
      </c>
      <c r="G120" s="69" t="n"/>
      <c r="H120" s="83" t="n">
        <v>45434</v>
      </c>
      <c r="I120" s="93" t="inlineStr">
        <is>
          <t>PIX</t>
        </is>
      </c>
      <c r="J120" s="118" t="n"/>
      <c r="K120" s="165" t="inlineStr">
        <is>
          <t>Retirou</t>
        </is>
      </c>
    </row>
    <row r="121">
      <c r="A121" s="236" t="inlineStr">
        <is>
          <t>Introducccioón a Toxicacomanías y Alcolismo</t>
        </is>
      </c>
      <c r="B121" s="79" t="n">
        <v>1</v>
      </c>
      <c r="C121" s="68" t="n">
        <v>70</v>
      </c>
      <c r="D121" s="68">
        <f>C121</f>
        <v/>
      </c>
      <c r="E121" s="76" t="n"/>
      <c r="F121" s="131">
        <f>D121</f>
        <v/>
      </c>
      <c r="G121" s="69" t="n"/>
      <c r="H121" s="83" t="n">
        <v>45436</v>
      </c>
      <c r="I121" s="93" t="inlineStr">
        <is>
          <t>PIX</t>
        </is>
      </c>
      <c r="J121" s="118" t="n"/>
      <c r="K121" s="165" t="inlineStr">
        <is>
          <t>Retirou</t>
        </is>
      </c>
    </row>
    <row r="122">
      <c r="A122" s="236" t="inlineStr">
        <is>
          <t>Todo mundo é Louco</t>
        </is>
      </c>
      <c r="B122" s="79" t="n">
        <v>1</v>
      </c>
      <c r="C122" s="68" t="n">
        <v>250</v>
      </c>
      <c r="D122" s="68">
        <f>C122</f>
        <v/>
      </c>
      <c r="E122" s="76" t="n"/>
      <c r="F122" s="131">
        <f>D122</f>
        <v/>
      </c>
      <c r="G122" s="69" t="n"/>
      <c r="H122" s="83" t="n">
        <v>45436</v>
      </c>
      <c r="I122" s="93" t="inlineStr">
        <is>
          <t>PIX</t>
        </is>
      </c>
      <c r="J122" s="118" t="n"/>
      <c r="K122" s="165" t="inlineStr">
        <is>
          <t>Retirou</t>
        </is>
      </c>
    </row>
    <row r="123">
      <c r="A123" s="236" t="inlineStr">
        <is>
          <t>A Morte de Si</t>
        </is>
      </c>
      <c r="B123" s="79" t="n">
        <v>1</v>
      </c>
      <c r="C123" s="68" t="n">
        <v>78</v>
      </c>
      <c r="D123" s="68">
        <f>C123</f>
        <v/>
      </c>
      <c r="E123" s="76" t="n"/>
      <c r="F123" s="131">
        <f>D123</f>
        <v/>
      </c>
      <c r="G123" s="69" t="n"/>
      <c r="H123" s="70" t="n">
        <v>45436</v>
      </c>
      <c r="I123" s="93" t="inlineStr">
        <is>
          <t>PIX</t>
        </is>
      </c>
      <c r="J123" s="118" t="n"/>
      <c r="K123" s="165" t="inlineStr">
        <is>
          <t>Retirou</t>
        </is>
      </c>
    </row>
    <row r="124">
      <c r="A124" s="236" t="inlineStr">
        <is>
          <t>A Morte de Si</t>
        </is>
      </c>
      <c r="B124" s="79" t="n">
        <v>1</v>
      </c>
      <c r="C124" s="68" t="n">
        <v>78</v>
      </c>
      <c r="D124" s="68">
        <f>C124</f>
        <v/>
      </c>
      <c r="E124" s="90" t="n"/>
      <c r="F124" s="141">
        <f>D124</f>
        <v/>
      </c>
      <c r="G124" s="100" t="n"/>
      <c r="H124" s="70" t="n">
        <v>45436</v>
      </c>
      <c r="I124" s="93" t="inlineStr">
        <is>
          <t>PIX</t>
        </is>
      </c>
      <c r="J124" s="125" t="n"/>
      <c r="K124" s="165" t="inlineStr">
        <is>
          <t>Retirou</t>
        </is>
      </c>
    </row>
    <row r="125">
      <c r="A125" s="236" t="inlineStr">
        <is>
          <t>Introducccioón a Toxicacomanías y Alcolismo</t>
        </is>
      </c>
      <c r="B125" s="79" t="n">
        <v>1</v>
      </c>
      <c r="C125" s="68" t="n">
        <v>70</v>
      </c>
      <c r="D125" s="68">
        <f>C125</f>
        <v/>
      </c>
      <c r="E125" s="88" t="n"/>
      <c r="F125" s="135">
        <f>D125</f>
        <v/>
      </c>
      <c r="G125" s="82" t="n"/>
      <c r="H125" s="70" t="n">
        <v>45436</v>
      </c>
      <c r="I125" s="93" t="inlineStr">
        <is>
          <t>PIX</t>
        </is>
      </c>
      <c r="J125" s="136" t="n"/>
      <c r="K125" s="165" t="inlineStr">
        <is>
          <t>Retirou</t>
        </is>
      </c>
    </row>
    <row r="126">
      <c r="A126" s="236" t="inlineStr">
        <is>
          <t>O Campo Uniano</t>
        </is>
      </c>
      <c r="B126" s="79" t="n">
        <v>1</v>
      </c>
      <c r="C126" s="68" t="n">
        <v>120</v>
      </c>
      <c r="D126" s="68">
        <f>C126</f>
        <v/>
      </c>
      <c r="E126" s="123" t="n">
        <v>15</v>
      </c>
      <c r="F126" s="179">
        <f>D126+E126</f>
        <v/>
      </c>
      <c r="G126" s="119" t="n"/>
      <c r="H126" s="120" t="n">
        <v>45439</v>
      </c>
      <c r="I126" s="93" t="inlineStr">
        <is>
          <t>PIX</t>
        </is>
      </c>
      <c r="J126" s="154" t="n"/>
      <c r="K126" s="165" t="inlineStr">
        <is>
          <t>Enviou</t>
        </is>
      </c>
    </row>
    <row r="127">
      <c r="A127" s="236" t="inlineStr">
        <is>
          <t>O Campo Uniano</t>
        </is>
      </c>
      <c r="B127" s="79" t="n">
        <v>1</v>
      </c>
      <c r="C127" s="68" t="n">
        <v>120</v>
      </c>
      <c r="D127" s="68">
        <f>C127</f>
        <v/>
      </c>
      <c r="E127" s="117" t="n">
        <v>15</v>
      </c>
      <c r="F127" s="131">
        <f>D127+E127</f>
        <v/>
      </c>
      <c r="G127" s="69" t="n"/>
      <c r="H127" s="70" t="inlineStr">
        <is>
          <t>27/15/2024</t>
        </is>
      </c>
      <c r="I127" s="93" t="inlineStr">
        <is>
          <t>PIX</t>
        </is>
      </c>
      <c r="J127" s="118" t="n"/>
      <c r="K127" s="122" t="inlineStr">
        <is>
          <t>Enviou</t>
        </is>
      </c>
    </row>
    <row r="128">
      <c r="A128" s="236" t="inlineStr">
        <is>
          <t>O Campo Uniano</t>
        </is>
      </c>
      <c r="B128" s="79" t="n">
        <v>1</v>
      </c>
      <c r="C128" s="68" t="n">
        <v>120</v>
      </c>
      <c r="D128" s="68">
        <f>C128</f>
        <v/>
      </c>
      <c r="E128" s="117" t="n">
        <v>15</v>
      </c>
      <c r="F128" s="131">
        <f>D128+E128</f>
        <v/>
      </c>
      <c r="G128" s="69" t="n"/>
      <c r="H128" s="70" t="n">
        <v>45441</v>
      </c>
      <c r="I128" s="93" t="inlineStr">
        <is>
          <t>PIX</t>
        </is>
      </c>
      <c r="J128" s="118" t="n"/>
      <c r="K128" s="122" t="inlineStr">
        <is>
          <t>Enviou</t>
        </is>
      </c>
    </row>
    <row r="129">
      <c r="A129" s="236" t="inlineStr">
        <is>
          <t>O Campo Uniano</t>
        </is>
      </c>
      <c r="B129" s="79" t="n">
        <v>1</v>
      </c>
      <c r="C129" s="68" t="n">
        <v>120</v>
      </c>
      <c r="D129" s="68">
        <f>C129</f>
        <v/>
      </c>
      <c r="E129" s="117" t="n">
        <v>15</v>
      </c>
      <c r="F129" s="179" t="n">
        <v>135</v>
      </c>
      <c r="G129" s="119" t="n"/>
      <c r="H129" s="70" t="n">
        <v>45441</v>
      </c>
      <c r="I129" s="93" t="inlineStr">
        <is>
          <t>PIX</t>
        </is>
      </c>
      <c r="J129" s="118" t="n"/>
      <c r="K129" s="122" t="inlineStr">
        <is>
          <t>Enviou</t>
        </is>
      </c>
    </row>
    <row r="130">
      <c r="A130" s="236" t="inlineStr">
        <is>
          <t>A morte de Si</t>
        </is>
      </c>
      <c r="B130" s="79" t="n">
        <v>1</v>
      </c>
      <c r="C130" s="68" t="n">
        <v>78</v>
      </c>
      <c r="D130" s="68">
        <f>C130</f>
        <v/>
      </c>
      <c r="E130" s="88" t="n"/>
      <c r="F130" s="179">
        <f>D130</f>
        <v/>
      </c>
      <c r="G130" s="119" t="n"/>
      <c r="H130" s="83" t="n">
        <v>45443</v>
      </c>
      <c r="I130" s="86" t="inlineStr">
        <is>
          <t>PIX</t>
        </is>
      </c>
      <c r="J130" s="136" t="n"/>
      <c r="K130" s="122" t="inlineStr">
        <is>
          <t>Retirou</t>
        </is>
      </c>
    </row>
    <row r="131">
      <c r="A131" s="236" t="inlineStr">
        <is>
          <t>A Morte de Si</t>
        </is>
      </c>
      <c r="B131" s="79" t="n">
        <v>1</v>
      </c>
      <c r="C131" s="68" t="n">
        <v>78</v>
      </c>
      <c r="D131" s="68">
        <f>C131</f>
        <v/>
      </c>
      <c r="E131" s="88" t="n"/>
      <c r="F131" s="135">
        <f>D131</f>
        <v/>
      </c>
      <c r="G131" s="82" t="n"/>
      <c r="H131" s="83" t="n">
        <v>45448</v>
      </c>
      <c r="I131" s="86" t="n"/>
      <c r="J131" s="136" t="n"/>
      <c r="K131" s="122" t="inlineStr">
        <is>
          <t>Retirou</t>
        </is>
      </c>
    </row>
    <row r="132">
      <c r="A132" s="236" t="inlineStr">
        <is>
          <t>A Morte de Si</t>
        </is>
      </c>
      <c r="B132" s="79" t="n">
        <v>1</v>
      </c>
      <c r="C132" s="68" t="n">
        <v>78</v>
      </c>
      <c r="D132" s="68">
        <f>C132</f>
        <v/>
      </c>
      <c r="E132" s="90" t="n"/>
      <c r="F132" s="141">
        <f>D132</f>
        <v/>
      </c>
      <c r="G132" s="100" t="n"/>
      <c r="H132" s="91" t="n">
        <v>45448</v>
      </c>
      <c r="I132" s="93" t="n"/>
      <c r="J132" s="125" t="n"/>
      <c r="K132" s="122" t="inlineStr">
        <is>
          <t>Retirou</t>
        </is>
      </c>
    </row>
    <row r="133">
      <c r="A133" s="236" t="inlineStr">
        <is>
          <t>O Campo Uniano</t>
        </is>
      </c>
      <c r="B133" s="79" t="n">
        <v>1</v>
      </c>
      <c r="C133" s="68" t="n">
        <v>120</v>
      </c>
      <c r="D133" s="68">
        <f>C133</f>
        <v/>
      </c>
      <c r="E133" s="90" t="n"/>
      <c r="F133" s="131">
        <f>D133</f>
        <v/>
      </c>
      <c r="G133" s="69" t="n"/>
      <c r="H133" s="120" t="n">
        <v>45448</v>
      </c>
      <c r="I133" s="93" t="n"/>
      <c r="J133" s="125" t="n"/>
      <c r="K133" s="122" t="inlineStr">
        <is>
          <t>Retirou</t>
        </is>
      </c>
    </row>
    <row r="134">
      <c r="A134" s="236" t="inlineStr">
        <is>
          <t>A Morte de Si</t>
        </is>
      </c>
      <c r="B134" s="79" t="n">
        <v>1</v>
      </c>
      <c r="C134" s="68" t="n">
        <v>78</v>
      </c>
      <c r="D134" s="68">
        <f>C134</f>
        <v/>
      </c>
      <c r="E134" s="76" t="n"/>
      <c r="F134" s="131">
        <f>D134</f>
        <v/>
      </c>
      <c r="G134" s="69" t="n"/>
      <c r="H134" s="143" t="n">
        <v>45448</v>
      </c>
      <c r="I134" s="79" t="n"/>
      <c r="J134" s="118" t="n"/>
      <c r="K134" s="122" t="inlineStr">
        <is>
          <t>Retirou</t>
        </is>
      </c>
    </row>
    <row r="135" ht="15.75" customHeight="1" s="317">
      <c r="A135" s="236" t="inlineStr">
        <is>
          <t>A Morte de Si</t>
        </is>
      </c>
      <c r="B135" s="79" t="n">
        <v>1</v>
      </c>
      <c r="C135" s="68" t="n">
        <v>78</v>
      </c>
      <c r="D135" s="68">
        <f>C135</f>
        <v/>
      </c>
      <c r="E135" s="88" t="n"/>
      <c r="F135" s="135">
        <f>D135</f>
        <v/>
      </c>
      <c r="G135" s="82" t="n"/>
      <c r="H135" s="83" t="n">
        <v>45449</v>
      </c>
      <c r="I135" s="86" t="n"/>
      <c r="J135" s="136" t="n"/>
      <c r="K135" s="122" t="inlineStr">
        <is>
          <t>Retirou</t>
        </is>
      </c>
    </row>
    <row r="136">
      <c r="A136" s="236" t="inlineStr">
        <is>
          <t>Modo de Gozar em femenino</t>
        </is>
      </c>
      <c r="B136" s="79" t="n">
        <v>1</v>
      </c>
      <c r="C136" s="68" t="n">
        <v>148</v>
      </c>
      <c r="D136" s="68">
        <f>C136</f>
        <v/>
      </c>
      <c r="E136" s="76" t="n"/>
      <c r="F136" s="131">
        <f>D136</f>
        <v/>
      </c>
      <c r="G136" s="69" t="n"/>
      <c r="H136" s="143" t="n">
        <v>45449</v>
      </c>
      <c r="I136" s="79" t="n"/>
      <c r="J136" s="118" t="n"/>
      <c r="K136" s="122" t="inlineStr">
        <is>
          <t>Retirou</t>
        </is>
      </c>
    </row>
    <row r="137">
      <c r="A137" s="236" t="inlineStr">
        <is>
          <t>O Campo Uniano</t>
        </is>
      </c>
      <c r="B137" s="165" t="n">
        <v>1</v>
      </c>
      <c r="C137" s="68" t="n">
        <v>120</v>
      </c>
      <c r="D137" s="68">
        <f>C137</f>
        <v/>
      </c>
      <c r="E137" s="76" t="n">
        <v>15</v>
      </c>
      <c r="F137" s="131">
        <f>D137+E137</f>
        <v/>
      </c>
      <c r="G137" s="69" t="n"/>
      <c r="H137" s="143" t="n">
        <v>45454</v>
      </c>
      <c r="I137" s="79" t="n"/>
      <c r="J137" s="118" t="n"/>
      <c r="K137" s="165" t="inlineStr">
        <is>
          <t>Enviou</t>
        </is>
      </c>
    </row>
    <row r="138">
      <c r="A138" s="236" t="inlineStr">
        <is>
          <t>O Campo Uniano</t>
        </is>
      </c>
      <c r="B138" s="165" t="n">
        <v>2</v>
      </c>
      <c r="C138" s="68" t="n">
        <v>240</v>
      </c>
      <c r="D138" s="68">
        <f>C138</f>
        <v/>
      </c>
      <c r="E138" s="76" t="n"/>
      <c r="F138" s="131">
        <f>D138</f>
        <v/>
      </c>
      <c r="G138" s="69" t="n"/>
      <c r="H138" s="143" t="n">
        <v>45461</v>
      </c>
      <c r="I138" s="79" t="n"/>
      <c r="J138" s="118" t="n"/>
      <c r="K138" s="165" t="inlineStr">
        <is>
          <t>Retirou</t>
        </is>
      </c>
    </row>
    <row r="139">
      <c r="A139" s="236" t="inlineStr">
        <is>
          <t>O Campo Uniano</t>
        </is>
      </c>
      <c r="B139" s="165" t="n">
        <v>1</v>
      </c>
      <c r="C139" s="68" t="n">
        <v>120</v>
      </c>
      <c r="D139" s="68">
        <f>C139</f>
        <v/>
      </c>
      <c r="E139" s="76" t="n"/>
      <c r="F139" s="131">
        <f>D139</f>
        <v/>
      </c>
      <c r="G139" s="69" t="n"/>
      <c r="H139" s="143" t="n">
        <v>45462</v>
      </c>
      <c r="I139" s="79" t="n"/>
      <c r="J139" s="118" t="n"/>
      <c r="K139" s="165" t="inlineStr">
        <is>
          <t>Retirou</t>
        </is>
      </c>
    </row>
    <row r="140">
      <c r="A140" s="236" t="inlineStr">
        <is>
          <t>O Campo Uniano</t>
        </is>
      </c>
      <c r="B140" s="165" t="n">
        <v>1</v>
      </c>
      <c r="C140" s="68" t="n">
        <v>120</v>
      </c>
      <c r="D140" s="68">
        <f>C140</f>
        <v/>
      </c>
      <c r="E140" s="76" t="n"/>
      <c r="F140" s="131">
        <f>D140</f>
        <v/>
      </c>
      <c r="G140" s="69" t="n"/>
      <c r="H140" s="143" t="n">
        <v>45462</v>
      </c>
      <c r="I140" s="79" t="n"/>
      <c r="J140" s="118" t="n"/>
      <c r="K140" s="165" t="inlineStr">
        <is>
          <t>Retirou</t>
        </is>
      </c>
    </row>
    <row r="141">
      <c r="A141" s="236" t="inlineStr">
        <is>
          <t>Philip Dick com Jacques Lacan</t>
        </is>
      </c>
      <c r="B141" s="165" t="n">
        <v>1</v>
      </c>
      <c r="C141" s="68" t="n">
        <v>75</v>
      </c>
      <c r="D141" s="68">
        <f>C141</f>
        <v/>
      </c>
      <c r="E141" s="90" t="n"/>
      <c r="F141" s="179" t="n">
        <v>75</v>
      </c>
      <c r="G141" s="119" t="n"/>
      <c r="H141" s="183" t="n">
        <v>45462</v>
      </c>
      <c r="I141" s="121" t="n"/>
      <c r="J141" s="154" t="n"/>
      <c r="K141" s="122" t="inlineStr">
        <is>
          <t>Retirou</t>
        </is>
      </c>
    </row>
    <row r="142">
      <c r="A142" s="236" t="inlineStr">
        <is>
          <t>Discurso que Atrapan Cuerpos</t>
        </is>
      </c>
      <c r="B142" s="165" t="n">
        <v>1</v>
      </c>
      <c r="C142" s="68" t="n">
        <v>145</v>
      </c>
      <c r="D142" s="68">
        <f>C142</f>
        <v/>
      </c>
      <c r="E142" s="88" t="n">
        <v>15</v>
      </c>
      <c r="F142" s="135">
        <f>D142+E142</f>
        <v/>
      </c>
      <c r="G142" s="82" t="n"/>
      <c r="H142" s="185" t="n">
        <v>45478</v>
      </c>
      <c r="I142" s="86" t="n"/>
      <c r="J142" s="136" t="n"/>
      <c r="K142" s="84" t="inlineStr">
        <is>
          <t>Enviou</t>
        </is>
      </c>
    </row>
    <row r="143">
      <c r="A143" s="236" t="inlineStr">
        <is>
          <t>Discurso que Atrapan Cuerpos</t>
        </is>
      </c>
      <c r="B143" s="165" t="n">
        <v>1</v>
      </c>
      <c r="C143" s="68" t="n">
        <v>145</v>
      </c>
      <c r="D143" s="68">
        <f>C143</f>
        <v/>
      </c>
      <c r="E143" s="76" t="n">
        <v>15</v>
      </c>
      <c r="F143" s="135">
        <f>D143+E143</f>
        <v/>
      </c>
      <c r="G143" s="69" t="n"/>
      <c r="H143" s="185" t="n">
        <v>45478</v>
      </c>
      <c r="I143" s="79" t="n"/>
      <c r="J143" s="118" t="n"/>
      <c r="K143" s="165" t="inlineStr">
        <is>
          <t>Enviou</t>
        </is>
      </c>
    </row>
    <row r="144">
      <c r="A144" s="236" t="inlineStr">
        <is>
          <t>Discurso que Atrapan Cuerpos</t>
        </is>
      </c>
      <c r="B144" s="165" t="n">
        <v>1</v>
      </c>
      <c r="C144" s="68" t="n">
        <v>145</v>
      </c>
      <c r="D144" s="68">
        <f>C144</f>
        <v/>
      </c>
      <c r="E144" s="76" t="n"/>
      <c r="F144" s="135">
        <f>D144+E144</f>
        <v/>
      </c>
      <c r="G144" s="69" t="n"/>
      <c r="H144" s="185" t="n">
        <v>45478</v>
      </c>
      <c r="I144" s="79" t="n"/>
      <c r="J144" s="118" t="n"/>
      <c r="K144" s="165" t="inlineStr">
        <is>
          <t>Retirou</t>
        </is>
      </c>
    </row>
    <row r="145">
      <c r="A145" s="236" t="inlineStr">
        <is>
          <t>Discurso que Atrapan Cuerpos</t>
        </is>
      </c>
      <c r="B145" s="165" t="n">
        <v>1</v>
      </c>
      <c r="C145" s="68" t="n">
        <v>145</v>
      </c>
      <c r="D145" s="68">
        <f>C145</f>
        <v/>
      </c>
      <c r="E145" s="90" t="n"/>
      <c r="F145" s="135">
        <f>D145+E145</f>
        <v/>
      </c>
      <c r="G145" s="100" t="n"/>
      <c r="H145" s="185" t="n">
        <v>45478</v>
      </c>
      <c r="I145" s="93" t="n"/>
      <c r="J145" s="125" t="n"/>
      <c r="K145" s="165" t="inlineStr">
        <is>
          <t>Retirou</t>
        </is>
      </c>
    </row>
    <row r="146">
      <c r="A146" s="236" t="inlineStr">
        <is>
          <t>Discurso que Atrapan Cuerpos</t>
        </is>
      </c>
      <c r="B146" s="165" t="n">
        <v>1</v>
      </c>
      <c r="C146" s="68" t="n">
        <v>145</v>
      </c>
      <c r="D146" s="68">
        <f>C146</f>
        <v/>
      </c>
      <c r="E146" s="90" t="n"/>
      <c r="F146" s="135">
        <f>D146+E146</f>
        <v/>
      </c>
      <c r="G146" s="100" t="n"/>
      <c r="H146" s="185" t="n">
        <v>45478</v>
      </c>
      <c r="I146" s="93" t="n"/>
      <c r="J146" s="125" t="n"/>
      <c r="K146" s="165" t="inlineStr">
        <is>
          <t>Retirou</t>
        </is>
      </c>
    </row>
    <row r="147">
      <c r="A147" s="236" t="inlineStr">
        <is>
          <t>Pasos Hacia Uma Economia de los goces</t>
        </is>
      </c>
      <c r="B147" s="165" t="n">
        <v>1</v>
      </c>
      <c r="C147" s="187" t="n">
        <v>73</v>
      </c>
      <c r="D147" s="68" t="n">
        <v>75</v>
      </c>
      <c r="E147" s="76" t="n"/>
      <c r="F147" s="135">
        <f>D147+E147</f>
        <v/>
      </c>
      <c r="G147" s="69" t="n"/>
      <c r="H147" s="185" t="n">
        <v>45478</v>
      </c>
      <c r="I147" s="79" t="n"/>
      <c r="J147" s="118" t="n"/>
      <c r="K147" s="165" t="inlineStr">
        <is>
          <t>Retirou</t>
        </is>
      </c>
    </row>
    <row r="148">
      <c r="A148" s="236" t="inlineStr">
        <is>
          <t>EL Sinsentido del Síntoma</t>
        </is>
      </c>
      <c r="B148" s="165" t="n">
        <v>1</v>
      </c>
      <c r="C148" s="187" t="n">
        <v>74</v>
      </c>
      <c r="D148" s="68" t="n">
        <v>72</v>
      </c>
      <c r="E148" s="76" t="n"/>
      <c r="F148" s="135">
        <f>D148+E148</f>
        <v/>
      </c>
      <c r="G148" s="69" t="n"/>
      <c r="H148" s="185" t="n">
        <v>45478</v>
      </c>
      <c r="I148" s="79" t="n"/>
      <c r="J148" s="152" t="n"/>
      <c r="K148" s="165" t="inlineStr">
        <is>
          <t>Retirou</t>
        </is>
      </c>
    </row>
    <row r="149">
      <c r="A149" s="236" t="inlineStr">
        <is>
          <t>Discurso que Atrapan Cuerpos</t>
        </is>
      </c>
      <c r="B149" s="165" t="n">
        <v>1</v>
      </c>
      <c r="C149" s="68" t="n">
        <v>145</v>
      </c>
      <c r="D149" s="68" t="n">
        <v>145</v>
      </c>
      <c r="E149" s="76" t="n"/>
      <c r="F149" s="135">
        <f>D149+E149</f>
        <v/>
      </c>
      <c r="G149" s="69" t="n"/>
      <c r="H149" s="185" t="n">
        <v>45478</v>
      </c>
      <c r="I149" s="79" t="n"/>
      <c r="J149" s="118" t="n"/>
      <c r="K149" s="165" t="inlineStr">
        <is>
          <t>Retirou</t>
        </is>
      </c>
    </row>
    <row r="150">
      <c r="A150" s="236" t="inlineStr">
        <is>
          <t>Discurso que Atrapan Cuerpos</t>
        </is>
      </c>
      <c r="B150" s="165" t="n">
        <v>1</v>
      </c>
      <c r="C150" s="68" t="n">
        <v>145</v>
      </c>
      <c r="D150" s="68" t="n">
        <v>145</v>
      </c>
      <c r="E150" s="90" t="n"/>
      <c r="F150" s="135">
        <f>D150+E150</f>
        <v/>
      </c>
      <c r="G150" s="100" t="n"/>
      <c r="H150" s="185" t="n">
        <v>45478</v>
      </c>
      <c r="I150" s="93" t="n"/>
      <c r="J150" s="125" t="n"/>
      <c r="K150" s="165" t="inlineStr">
        <is>
          <t>Retirou</t>
        </is>
      </c>
    </row>
    <row r="151">
      <c r="A151" s="236" t="inlineStr">
        <is>
          <t>EL Sinsentido del Síntoma</t>
        </is>
      </c>
      <c r="B151" s="165" t="n">
        <v>1</v>
      </c>
      <c r="C151" s="68" t="n">
        <v>74</v>
      </c>
      <c r="D151" s="68">
        <f>C151</f>
        <v/>
      </c>
      <c r="E151" s="76" t="n"/>
      <c r="F151" s="135">
        <f>D151+E151</f>
        <v/>
      </c>
      <c r="G151" s="69" t="n"/>
      <c r="H151" s="185" t="n">
        <v>45478</v>
      </c>
      <c r="I151" s="79" t="n"/>
      <c r="J151" s="118" t="n"/>
      <c r="K151" s="165" t="inlineStr">
        <is>
          <t>Retirou</t>
        </is>
      </c>
    </row>
    <row r="152">
      <c r="A152" s="236" t="inlineStr">
        <is>
          <t>El Sinsentido del Sintoma</t>
        </is>
      </c>
      <c r="B152" s="165" t="n">
        <v>1</v>
      </c>
      <c r="C152" s="68" t="n">
        <v>74</v>
      </c>
      <c r="D152" s="68">
        <f>C152</f>
        <v/>
      </c>
      <c r="E152" s="76" t="n"/>
      <c r="F152" s="135">
        <f>D152+E152</f>
        <v/>
      </c>
      <c r="G152" s="69" t="n"/>
      <c r="H152" s="185" t="n">
        <v>45478</v>
      </c>
      <c r="I152" s="79" t="n"/>
      <c r="J152" s="118" t="n"/>
      <c r="K152" s="165" t="inlineStr">
        <is>
          <t>Retirou</t>
        </is>
      </c>
    </row>
    <row r="153">
      <c r="A153" s="236" t="inlineStr">
        <is>
          <t>Retocitos</t>
        </is>
      </c>
      <c r="B153" s="165" t="n">
        <v>1</v>
      </c>
      <c r="C153" s="68" t="n">
        <v>75</v>
      </c>
      <c r="D153" s="68">
        <f>C153</f>
        <v/>
      </c>
      <c r="E153" s="76" t="n"/>
      <c r="F153" s="135">
        <f>D153+E153</f>
        <v/>
      </c>
      <c r="G153" s="69" t="n"/>
      <c r="H153" s="185" t="n">
        <v>45481</v>
      </c>
      <c r="I153" s="79" t="n"/>
      <c r="J153" s="118" t="n"/>
      <c r="K153" s="165" t="inlineStr">
        <is>
          <t>Retirou</t>
        </is>
      </c>
    </row>
    <row r="154">
      <c r="A154" s="236" t="inlineStr">
        <is>
          <t>Nuevos Retoquecitos</t>
        </is>
      </c>
      <c r="B154" s="165" t="n">
        <v>1</v>
      </c>
      <c r="C154" s="68" t="n">
        <v>75</v>
      </c>
      <c r="D154" s="68">
        <f>C154</f>
        <v/>
      </c>
      <c r="E154" s="76" t="n"/>
      <c r="F154" s="135">
        <f>D154+E154</f>
        <v/>
      </c>
      <c r="G154" s="69" t="n"/>
      <c r="H154" s="185" t="n">
        <v>45481</v>
      </c>
      <c r="I154" s="79" t="n"/>
      <c r="J154" s="118" t="n"/>
      <c r="K154" s="165" t="inlineStr">
        <is>
          <t>Retirou</t>
        </is>
      </c>
    </row>
    <row r="155">
      <c r="A155" s="236" t="inlineStr">
        <is>
          <t>El Sinsentido del Sintoma</t>
        </is>
      </c>
      <c r="B155" s="165" t="n">
        <v>1</v>
      </c>
      <c r="C155" s="68" t="n">
        <v>74</v>
      </c>
      <c r="D155" s="68">
        <f>C155</f>
        <v/>
      </c>
      <c r="E155" s="76" t="n"/>
      <c r="F155" s="135">
        <f>D155+E155</f>
        <v/>
      </c>
      <c r="G155" s="69" t="n"/>
      <c r="H155" s="185" t="n">
        <v>45481</v>
      </c>
      <c r="I155" s="79" t="n"/>
      <c r="J155" s="118" t="n"/>
      <c r="K155" s="165" t="inlineStr">
        <is>
          <t>Retirou</t>
        </is>
      </c>
    </row>
    <row r="156">
      <c r="A156" s="236" t="inlineStr">
        <is>
          <t>Psicanalise Y Ciencia</t>
        </is>
      </c>
      <c r="B156" s="165" t="n">
        <v>1</v>
      </c>
      <c r="C156" s="68" t="n">
        <v>150</v>
      </c>
      <c r="D156" s="68">
        <f>C156</f>
        <v/>
      </c>
      <c r="E156" s="76" t="n"/>
      <c r="F156" s="135">
        <f>D156+E156</f>
        <v/>
      </c>
      <c r="G156" s="69" t="n"/>
      <c r="H156" s="185" t="n">
        <v>45481</v>
      </c>
      <c r="I156" s="79" t="n"/>
      <c r="J156" s="118" t="n"/>
      <c r="K156" s="165" t="inlineStr">
        <is>
          <t>Retirou</t>
        </is>
      </c>
    </row>
    <row r="157">
      <c r="A157" s="236" t="inlineStr">
        <is>
          <t>Psicanalise Y Ciencia</t>
        </is>
      </c>
      <c r="B157" s="165" t="n">
        <v>8</v>
      </c>
      <c r="C157" s="68" t="n">
        <v>150</v>
      </c>
      <c r="D157" s="68">
        <f>C157</f>
        <v/>
      </c>
      <c r="E157" s="76" t="n"/>
      <c r="F157" s="131">
        <f>D157</f>
        <v/>
      </c>
      <c r="G157" s="69" t="n"/>
      <c r="H157" s="143" t="n">
        <v>45478</v>
      </c>
      <c r="I157" s="79" t="n"/>
      <c r="J157" s="118" t="n"/>
      <c r="K157" s="165" t="inlineStr">
        <is>
          <t>Retirou</t>
        </is>
      </c>
    </row>
    <row r="158">
      <c r="A158" s="236" t="inlineStr">
        <is>
          <t>Uma Via Prática para Sentirse</t>
        </is>
      </c>
      <c r="B158" s="165" t="n">
        <v>1</v>
      </c>
      <c r="C158" s="68" t="n">
        <v>160</v>
      </c>
      <c r="D158" s="68">
        <f>C158</f>
        <v/>
      </c>
      <c r="E158" s="117" t="n"/>
      <c r="F158" s="131">
        <f>D158</f>
        <v/>
      </c>
      <c r="G158" s="69" t="n"/>
      <c r="H158" s="143" t="n">
        <v>45478</v>
      </c>
      <c r="I158" s="79" t="n"/>
      <c r="J158" s="118" t="n"/>
      <c r="K158" s="165" t="inlineStr">
        <is>
          <t>Retirou</t>
        </is>
      </c>
    </row>
    <row r="159">
      <c r="A159" s="236" t="inlineStr">
        <is>
          <t>Retoquecitos</t>
        </is>
      </c>
      <c r="B159" s="165" t="n">
        <v>1</v>
      </c>
      <c r="C159" s="68" t="n">
        <v>75</v>
      </c>
      <c r="D159" s="68">
        <f>C159</f>
        <v/>
      </c>
      <c r="E159" s="117" t="n"/>
      <c r="F159" s="131">
        <f>D159</f>
        <v/>
      </c>
      <c r="G159" s="69" t="n"/>
      <c r="H159" s="143" t="n">
        <v>45478</v>
      </c>
      <c r="I159" s="79" t="n"/>
      <c r="J159" s="118" t="n"/>
      <c r="K159" s="165" t="inlineStr">
        <is>
          <t>Retirou</t>
        </is>
      </c>
    </row>
    <row r="160">
      <c r="A160" s="236" t="inlineStr">
        <is>
          <t>Nuevos Retoquecitos</t>
        </is>
      </c>
      <c r="B160" s="165" t="n">
        <v>1</v>
      </c>
      <c r="C160" s="68" t="n">
        <v>75</v>
      </c>
      <c r="D160" s="68">
        <f>C160</f>
        <v/>
      </c>
      <c r="E160" s="76" t="n"/>
      <c r="F160" s="131">
        <f>D160</f>
        <v/>
      </c>
      <c r="G160" s="69" t="n"/>
      <c r="H160" s="143" t="n">
        <v>45478</v>
      </c>
      <c r="I160" s="79" t="n"/>
      <c r="J160" s="118" t="n"/>
      <c r="K160" s="165" t="inlineStr">
        <is>
          <t>Retirou</t>
        </is>
      </c>
    </row>
    <row r="161">
      <c r="A161" s="236" t="inlineStr">
        <is>
          <t>Discurso que Atrapan Cuerpos</t>
        </is>
      </c>
      <c r="B161" s="165" t="n">
        <v>1</v>
      </c>
      <c r="C161" s="68" t="n">
        <v>145</v>
      </c>
      <c r="D161" s="68">
        <f>C161</f>
        <v/>
      </c>
      <c r="E161" s="90" t="n"/>
      <c r="F161" s="141">
        <f>D161</f>
        <v/>
      </c>
      <c r="G161" s="100" t="n"/>
      <c r="H161" s="192" t="n">
        <v>45478</v>
      </c>
      <c r="I161" s="94" t="n"/>
      <c r="J161" s="125" t="n"/>
      <c r="K161" s="165" t="inlineStr">
        <is>
          <t>Retirou</t>
        </is>
      </c>
    </row>
    <row r="162">
      <c r="A162" s="236" t="inlineStr">
        <is>
          <t>Discurso que Atrapan Cuerpos</t>
        </is>
      </c>
      <c r="B162" s="165" t="n">
        <v>1</v>
      </c>
      <c r="C162" s="68" t="n">
        <v>160</v>
      </c>
      <c r="D162" s="68">
        <f>C162</f>
        <v/>
      </c>
      <c r="E162" s="76" t="n"/>
      <c r="F162" s="131">
        <f>D162</f>
        <v/>
      </c>
      <c r="G162" s="69" t="n"/>
      <c r="H162" s="185" t="n">
        <v>45478</v>
      </c>
      <c r="I162" s="236" t="n"/>
      <c r="J162" s="118" t="n"/>
      <c r="K162" s="165" t="inlineStr">
        <is>
          <t>Enviou</t>
        </is>
      </c>
    </row>
    <row r="163">
      <c r="A163" s="236" t="inlineStr">
        <is>
          <t>Discurso que Atrapan Cuerpos</t>
        </is>
      </c>
      <c r="B163" s="165" t="n">
        <v>1</v>
      </c>
      <c r="C163" s="68" t="n">
        <v>145</v>
      </c>
      <c r="D163" s="68" t="n">
        <v>145</v>
      </c>
      <c r="E163" s="76" t="n"/>
      <c r="F163" s="131">
        <f>D163</f>
        <v/>
      </c>
      <c r="G163" s="69" t="n"/>
      <c r="H163" s="192" t="n">
        <v>45478</v>
      </c>
      <c r="I163" s="236" t="n"/>
      <c r="J163" s="118" t="n"/>
      <c r="K163" s="165" t="inlineStr">
        <is>
          <t>Retirou</t>
        </is>
      </c>
    </row>
    <row r="164">
      <c r="A164" s="236" t="inlineStr">
        <is>
          <t>Discurso que Atrapan Cuerpos</t>
        </is>
      </c>
      <c r="B164" s="165" t="n">
        <v>1</v>
      </c>
      <c r="C164" s="68" t="n">
        <v>145</v>
      </c>
      <c r="D164" s="68">
        <f>C164</f>
        <v/>
      </c>
      <c r="E164" s="76" t="n"/>
      <c r="F164" s="131">
        <f>D164</f>
        <v/>
      </c>
      <c r="G164" s="69" t="n"/>
      <c r="H164" s="185" t="n">
        <v>45478</v>
      </c>
      <c r="I164" s="236" t="n"/>
      <c r="J164" s="118" t="n"/>
      <c r="K164" s="165" t="inlineStr">
        <is>
          <t>Retirou</t>
        </is>
      </c>
    </row>
    <row r="165">
      <c r="A165" s="236" t="inlineStr">
        <is>
          <t>Discurso que Atrapan Cuerpos</t>
        </is>
      </c>
      <c r="B165" s="165" t="n">
        <v>1</v>
      </c>
      <c r="C165" s="68" t="n">
        <v>145</v>
      </c>
      <c r="D165" s="68">
        <f>C165</f>
        <v/>
      </c>
      <c r="E165" s="76" t="n"/>
      <c r="F165" s="131">
        <f>D165</f>
        <v/>
      </c>
      <c r="G165" s="69" t="n"/>
      <c r="H165" s="192" t="n">
        <v>45478</v>
      </c>
      <c r="I165" s="236" t="n"/>
      <c r="J165" s="118" t="n"/>
      <c r="K165" s="165" t="inlineStr">
        <is>
          <t>Retirou</t>
        </is>
      </c>
    </row>
    <row r="166">
      <c r="A166" s="236" t="inlineStr">
        <is>
          <t>Discurso que Atrapan Cuerpos</t>
        </is>
      </c>
      <c r="B166" s="165" t="n">
        <v>1</v>
      </c>
      <c r="C166" s="68" t="n">
        <v>145</v>
      </c>
      <c r="D166" s="68">
        <f>C166</f>
        <v/>
      </c>
      <c r="E166" s="90" t="n">
        <v>15</v>
      </c>
      <c r="F166" s="131">
        <f>D166+E166</f>
        <v/>
      </c>
      <c r="G166" s="100" t="n"/>
      <c r="H166" s="185" t="n">
        <v>45478</v>
      </c>
      <c r="I166" s="94" t="n"/>
      <c r="J166" s="125" t="n"/>
      <c r="K166" s="94" t="inlineStr">
        <is>
          <t>Enviou</t>
        </is>
      </c>
    </row>
    <row r="167">
      <c r="A167" s="236" t="inlineStr">
        <is>
          <t>Discurso que Atrapan Cuerpos</t>
        </is>
      </c>
      <c r="B167" s="165" t="n">
        <v>1</v>
      </c>
      <c r="C167" s="68" t="n">
        <v>145</v>
      </c>
      <c r="D167" s="68">
        <f>C167</f>
        <v/>
      </c>
      <c r="E167" s="76" t="n"/>
      <c r="F167" s="131">
        <f>D167</f>
        <v/>
      </c>
      <c r="G167" s="69" t="n"/>
      <c r="H167" s="192" t="n">
        <v>45478</v>
      </c>
      <c r="I167" s="236" t="n"/>
      <c r="J167" s="118" t="n"/>
      <c r="K167" s="165" t="inlineStr">
        <is>
          <t>Retirou</t>
        </is>
      </c>
    </row>
    <row r="168">
      <c r="A168" s="236" t="inlineStr">
        <is>
          <t>Discurso que Atrapan Cuerpos</t>
        </is>
      </c>
      <c r="B168" s="165" t="n">
        <v>1</v>
      </c>
      <c r="C168" s="68" t="n">
        <v>145</v>
      </c>
      <c r="D168" s="68">
        <f>C168</f>
        <v/>
      </c>
      <c r="E168" s="76" t="n"/>
      <c r="F168" s="131">
        <f>D168</f>
        <v/>
      </c>
      <c r="G168" s="69" t="n"/>
      <c r="H168" s="185" t="n">
        <v>45478</v>
      </c>
      <c r="I168" s="236" t="n"/>
      <c r="J168" s="118" t="n"/>
      <c r="K168" s="165" t="inlineStr">
        <is>
          <t>Retirou</t>
        </is>
      </c>
    </row>
    <row r="169">
      <c r="A169" s="236" t="inlineStr">
        <is>
          <t>Discurso que Atrapan Cuerpos</t>
        </is>
      </c>
      <c r="B169" s="165" t="n">
        <v>1</v>
      </c>
      <c r="C169" s="68" t="n">
        <v>145</v>
      </c>
      <c r="D169" s="68">
        <f>C169</f>
        <v/>
      </c>
      <c r="E169" s="76" t="n"/>
      <c r="F169" s="131">
        <f>D169</f>
        <v/>
      </c>
      <c r="G169" s="69" t="n"/>
      <c r="H169" s="192" t="n">
        <v>45481</v>
      </c>
      <c r="I169" s="236" t="n"/>
      <c r="J169" s="118" t="n"/>
      <c r="K169" s="165" t="inlineStr">
        <is>
          <t>Retirou</t>
        </is>
      </c>
    </row>
    <row r="170">
      <c r="A170" s="236" t="inlineStr">
        <is>
          <t>Ombligos</t>
        </is>
      </c>
      <c r="B170" s="165" t="n">
        <v>1</v>
      </c>
      <c r="C170" s="68" t="n">
        <v>80</v>
      </c>
      <c r="D170" s="68">
        <f>C170</f>
        <v/>
      </c>
      <c r="E170" s="90" t="n"/>
      <c r="F170" s="131">
        <f>D170</f>
        <v/>
      </c>
      <c r="G170" s="100" t="n"/>
      <c r="H170" s="185" t="n">
        <v>45481</v>
      </c>
      <c r="I170" s="94" t="n"/>
      <c r="J170" s="125" t="n"/>
      <c r="K170" s="165" t="inlineStr">
        <is>
          <t>Retirou</t>
        </is>
      </c>
    </row>
    <row r="171">
      <c r="A171" s="236" t="inlineStr">
        <is>
          <t>Discurso que Atrapan Cuerpos</t>
        </is>
      </c>
      <c r="B171" s="165" t="n">
        <v>1</v>
      </c>
      <c r="C171" s="68" t="n">
        <v>145</v>
      </c>
      <c r="D171" s="68">
        <f>C171</f>
        <v/>
      </c>
      <c r="E171" s="90" t="n"/>
      <c r="F171" s="131">
        <f>D171</f>
        <v/>
      </c>
      <c r="G171" s="69" t="n"/>
      <c r="H171" s="192" t="n">
        <v>45481</v>
      </c>
      <c r="I171" s="94" t="n"/>
      <c r="J171" s="125" t="n"/>
      <c r="K171" s="165" t="inlineStr">
        <is>
          <t>Retirou</t>
        </is>
      </c>
    </row>
    <row r="172">
      <c r="A172" s="236" t="inlineStr">
        <is>
          <t>Discurso que Atrapan Cuerpos</t>
        </is>
      </c>
      <c r="B172" s="165" t="n">
        <v>1</v>
      </c>
      <c r="C172" s="68" t="n">
        <v>145</v>
      </c>
      <c r="D172" s="68">
        <f>C172</f>
        <v/>
      </c>
      <c r="E172" s="90" t="n"/>
      <c r="F172" s="131">
        <f>D172</f>
        <v/>
      </c>
      <c r="G172" s="69" t="n"/>
      <c r="H172" s="185" t="n">
        <v>45481</v>
      </c>
      <c r="I172" s="94" t="n"/>
      <c r="J172" s="125" t="n"/>
      <c r="K172" s="165" t="inlineStr">
        <is>
          <t>Retirou</t>
        </is>
      </c>
    </row>
    <row r="173">
      <c r="A173" s="236" t="inlineStr">
        <is>
          <t>Escutas do indizível</t>
        </is>
      </c>
      <c r="B173" s="165" t="n">
        <v>1</v>
      </c>
      <c r="C173" s="68" t="n">
        <v>60</v>
      </c>
      <c r="D173" s="68">
        <f>C173</f>
        <v/>
      </c>
      <c r="E173" s="90" t="n"/>
      <c r="F173" s="131">
        <f>D173</f>
        <v/>
      </c>
      <c r="G173" s="100" t="n"/>
      <c r="H173" s="192" t="n">
        <v>45481</v>
      </c>
      <c r="I173" s="94" t="n"/>
      <c r="J173" s="118" t="n"/>
      <c r="K173" s="165" t="inlineStr">
        <is>
          <t>Retirou</t>
        </is>
      </c>
    </row>
    <row r="174" ht="15" customHeight="1" s="317">
      <c r="A174" s="236" t="inlineStr">
        <is>
          <t>Escutas do indizível</t>
        </is>
      </c>
      <c r="B174" s="165" t="n">
        <v>1</v>
      </c>
      <c r="C174" s="68" t="n">
        <v>60</v>
      </c>
      <c r="D174" s="68">
        <f>C174</f>
        <v/>
      </c>
      <c r="E174" s="90" t="n"/>
      <c r="F174" s="131">
        <f>D174</f>
        <v/>
      </c>
      <c r="G174" s="82" t="n"/>
      <c r="H174" s="185" t="n">
        <v>45481</v>
      </c>
      <c r="I174" s="84" t="n"/>
      <c r="J174" s="118" t="n"/>
      <c r="K174" s="165" t="inlineStr">
        <is>
          <t>Retirou</t>
        </is>
      </c>
    </row>
    <row r="175">
      <c r="A175" s="236" t="inlineStr">
        <is>
          <t>Angústia</t>
        </is>
      </c>
      <c r="B175" s="165" t="n">
        <v>1</v>
      </c>
      <c r="C175" s="68" t="n">
        <v>80</v>
      </c>
      <c r="D175" s="68">
        <f>C175</f>
        <v/>
      </c>
      <c r="E175" s="90" t="n"/>
      <c r="F175" s="131">
        <f>D175</f>
        <v/>
      </c>
      <c r="G175" s="69" t="n"/>
      <c r="H175" s="192" t="n">
        <v>45481</v>
      </c>
      <c r="I175" s="94" t="n"/>
      <c r="J175" s="118" t="n"/>
      <c r="K175" s="165" t="inlineStr">
        <is>
          <t>Retirou</t>
        </is>
      </c>
    </row>
    <row r="176">
      <c r="A176" s="236" t="inlineStr">
        <is>
          <t>Discurso que Atrapan Cuerpos</t>
        </is>
      </c>
      <c r="B176" s="165" t="n">
        <v>1</v>
      </c>
      <c r="C176" s="68" t="n">
        <v>145</v>
      </c>
      <c r="D176" s="68">
        <f>C176</f>
        <v/>
      </c>
      <c r="E176" s="90" t="n"/>
      <c r="F176" s="131">
        <f>D176</f>
        <v/>
      </c>
      <c r="G176" s="69" t="n"/>
      <c r="H176" s="185" t="n">
        <v>45481</v>
      </c>
      <c r="I176" s="94" t="n"/>
      <c r="J176" s="125" t="n"/>
      <c r="K176" s="165" t="inlineStr">
        <is>
          <t>Retirou</t>
        </is>
      </c>
    </row>
    <row r="177">
      <c r="A177" s="236" t="inlineStr">
        <is>
          <t>Discurso que Atrapan Cuerpos</t>
        </is>
      </c>
      <c r="B177" s="165" t="n">
        <v>1</v>
      </c>
      <c r="C177" s="68" t="n">
        <v>145</v>
      </c>
      <c r="D177" s="68">
        <f>C177</f>
        <v/>
      </c>
      <c r="E177" s="90" t="n">
        <v>15</v>
      </c>
      <c r="F177" s="131">
        <f>D177+E177</f>
        <v/>
      </c>
      <c r="G177" s="69" t="n"/>
      <c r="H177" s="192" t="n">
        <v>45481</v>
      </c>
      <c r="I177" s="94" t="n"/>
      <c r="J177" s="125" t="n"/>
      <c r="K177" s="94" t="inlineStr">
        <is>
          <t>Enviou</t>
        </is>
      </c>
    </row>
    <row r="178">
      <c r="A178" s="236" t="inlineStr">
        <is>
          <t>Psicanálise Y Ciencia</t>
        </is>
      </c>
      <c r="B178" s="165" t="n">
        <v>1</v>
      </c>
      <c r="C178" s="68" t="n">
        <v>150</v>
      </c>
      <c r="D178" s="68">
        <f>C178</f>
        <v/>
      </c>
      <c r="E178" s="90" t="n"/>
      <c r="F178" s="131">
        <f>D178</f>
        <v/>
      </c>
      <c r="G178" s="69" t="n"/>
      <c r="H178" s="185" t="n">
        <v>45481</v>
      </c>
      <c r="I178" s="94" t="n"/>
      <c r="J178" s="125" t="n"/>
      <c r="K178" s="94" t="inlineStr">
        <is>
          <t>Retirou</t>
        </is>
      </c>
    </row>
    <row r="179">
      <c r="A179" s="236" t="inlineStr">
        <is>
          <t>EL Sinsentido del Síntoma</t>
        </is>
      </c>
      <c r="B179" s="165" t="n">
        <v>1</v>
      </c>
      <c r="C179" s="68" t="n">
        <v>74</v>
      </c>
      <c r="D179" s="68">
        <f>C179</f>
        <v/>
      </c>
      <c r="E179" s="90" t="n"/>
      <c r="F179" s="131">
        <f>D179</f>
        <v/>
      </c>
      <c r="G179" s="69" t="n"/>
      <c r="H179" s="192" t="n">
        <v>45481</v>
      </c>
      <c r="I179" s="94" t="n"/>
      <c r="J179" s="125" t="n"/>
      <c r="K179" s="94" t="inlineStr">
        <is>
          <t>Retirou</t>
        </is>
      </c>
    </row>
    <row r="180">
      <c r="A180" s="236" t="inlineStr">
        <is>
          <t>Discurso que Atrapan Cuerpos</t>
        </is>
      </c>
      <c r="B180" s="165" t="n">
        <v>1</v>
      </c>
      <c r="C180" s="68" t="n">
        <v>145</v>
      </c>
      <c r="D180" s="68">
        <f>C180</f>
        <v/>
      </c>
      <c r="E180" s="90" t="n"/>
      <c r="F180" s="131">
        <f>D180</f>
        <v/>
      </c>
      <c r="G180" s="69" t="n"/>
      <c r="H180" s="185" t="n">
        <v>45481</v>
      </c>
      <c r="I180" s="94" t="n"/>
      <c r="J180" s="125" t="n"/>
      <c r="K180" s="94" t="inlineStr">
        <is>
          <t>Retirou</t>
        </is>
      </c>
    </row>
    <row r="181">
      <c r="A181" s="236" t="inlineStr">
        <is>
          <t>Ombligos</t>
        </is>
      </c>
      <c r="B181" s="165" t="n">
        <v>1</v>
      </c>
      <c r="C181" s="68" t="n">
        <v>80</v>
      </c>
      <c r="D181" s="68">
        <f>C181</f>
        <v/>
      </c>
      <c r="E181" s="90" t="n"/>
      <c r="F181" s="131">
        <f>D181</f>
        <v/>
      </c>
      <c r="G181" s="69" t="n"/>
      <c r="H181" s="192" t="n">
        <v>45481</v>
      </c>
      <c r="I181" s="94" t="n"/>
      <c r="J181" s="125" t="n"/>
      <c r="K181" s="94" t="inlineStr">
        <is>
          <t>Retirou</t>
        </is>
      </c>
    </row>
    <row r="182">
      <c r="A182" s="236" t="inlineStr">
        <is>
          <t>El Muro de La Anorexia</t>
        </is>
      </c>
      <c r="B182" s="165" t="n">
        <v>1</v>
      </c>
      <c r="C182" s="68" t="n">
        <v>258</v>
      </c>
      <c r="D182" s="68">
        <f>C182</f>
        <v/>
      </c>
      <c r="E182" s="90" t="n"/>
      <c r="F182" s="141">
        <f>D182</f>
        <v/>
      </c>
      <c r="G182" s="100" t="n"/>
      <c r="H182" s="185" t="n">
        <v>45481</v>
      </c>
      <c r="I182" s="94" t="n"/>
      <c r="J182" s="196" t="n"/>
      <c r="K182" s="94" t="inlineStr">
        <is>
          <t>Retirou</t>
        </is>
      </c>
    </row>
    <row r="183">
      <c r="A183" s="236" t="inlineStr">
        <is>
          <t>Discurso que Atrapan Cuerpos</t>
        </is>
      </c>
      <c r="B183" s="165" t="n">
        <v>1</v>
      </c>
      <c r="C183" s="68" t="n">
        <v>145</v>
      </c>
      <c r="D183" s="68">
        <f>C183</f>
        <v/>
      </c>
      <c r="E183" s="90" t="n"/>
      <c r="F183" s="110">
        <f>D183</f>
        <v/>
      </c>
      <c r="G183" s="69" t="n"/>
      <c r="H183" s="192" t="n">
        <v>45481</v>
      </c>
      <c r="I183" s="94" t="n"/>
      <c r="J183" s="196" t="n"/>
      <c r="K183" s="94" t="inlineStr">
        <is>
          <t>Retirou</t>
        </is>
      </c>
    </row>
    <row r="184">
      <c r="A184" s="236" t="inlineStr">
        <is>
          <t>O Femenino Infamiliar</t>
        </is>
      </c>
      <c r="B184" s="165" t="n">
        <v>1</v>
      </c>
      <c r="C184" s="68" t="n">
        <v>55</v>
      </c>
      <c r="D184" s="68">
        <f>C184</f>
        <v/>
      </c>
      <c r="E184" s="76" t="n"/>
      <c r="F184" s="110">
        <f>D184</f>
        <v/>
      </c>
      <c r="G184" s="69" t="n"/>
      <c r="H184" s="185" t="n">
        <v>45481</v>
      </c>
      <c r="I184" s="165" t="n"/>
      <c r="J184" s="112" t="n"/>
      <c r="K184" s="94" t="inlineStr">
        <is>
          <t>Retirou</t>
        </is>
      </c>
    </row>
    <row r="185">
      <c r="A185" s="236" t="inlineStr">
        <is>
          <t>Discurso que Atrapan Cuerpos</t>
        </is>
      </c>
      <c r="B185" s="165" t="n">
        <v>1</v>
      </c>
      <c r="C185" s="68" t="n">
        <v>145</v>
      </c>
      <c r="D185" s="68">
        <f>C185</f>
        <v/>
      </c>
      <c r="E185" s="76" t="n"/>
      <c r="F185" s="110">
        <f>D185</f>
        <v/>
      </c>
      <c r="G185" s="69" t="n"/>
      <c r="H185" s="192" t="n">
        <v>45481</v>
      </c>
      <c r="I185" s="165" t="n"/>
      <c r="J185" s="112" t="n"/>
      <c r="K185" s="94" t="inlineStr">
        <is>
          <t>Retirou</t>
        </is>
      </c>
    </row>
    <row r="186">
      <c r="A186" s="236" t="inlineStr">
        <is>
          <t>Ombligos</t>
        </is>
      </c>
      <c r="B186" s="165" t="n">
        <v>1</v>
      </c>
      <c r="C186" s="68" t="n">
        <v>80</v>
      </c>
      <c r="D186" s="68">
        <f>C186</f>
        <v/>
      </c>
      <c r="E186" s="76" t="n"/>
      <c r="F186" s="110">
        <f>D186</f>
        <v/>
      </c>
      <c r="G186" s="69" t="n"/>
      <c r="H186" s="185" t="n">
        <v>45481</v>
      </c>
      <c r="I186" s="165" t="n"/>
      <c r="J186" s="112" t="n"/>
      <c r="K186" s="94" t="inlineStr">
        <is>
          <t>Retirou</t>
        </is>
      </c>
    </row>
    <row r="187">
      <c r="A187" s="236" t="inlineStr">
        <is>
          <t>Ombligos</t>
        </is>
      </c>
      <c r="B187" s="165" t="n">
        <v>1</v>
      </c>
      <c r="C187" s="68" t="n">
        <v>80</v>
      </c>
      <c r="D187" s="68">
        <f>C187</f>
        <v/>
      </c>
      <c r="E187" s="76" t="n"/>
      <c r="F187" s="110">
        <f>D187</f>
        <v/>
      </c>
      <c r="G187" s="69" t="n"/>
      <c r="H187" s="192" t="n">
        <v>45481</v>
      </c>
      <c r="I187" s="165" t="n"/>
      <c r="J187" s="112" t="n"/>
      <c r="K187" s="94" t="inlineStr">
        <is>
          <t>Retirou</t>
        </is>
      </c>
    </row>
    <row r="188">
      <c r="A188" s="236" t="inlineStr">
        <is>
          <t>Discurso que Atrapan Cuerpos</t>
        </is>
      </c>
      <c r="B188" s="165" t="n">
        <v>1</v>
      </c>
      <c r="C188" s="68" t="n">
        <v>145</v>
      </c>
      <c r="D188" s="68">
        <f>C188</f>
        <v/>
      </c>
      <c r="E188" s="90" t="n"/>
      <c r="F188" s="197">
        <f>D188</f>
        <v/>
      </c>
      <c r="G188" s="100" t="n"/>
      <c r="H188" s="185" t="n">
        <v>45481</v>
      </c>
      <c r="I188" s="94" t="n"/>
      <c r="J188" s="112" t="n"/>
      <c r="K188" s="94" t="inlineStr">
        <is>
          <t>Retirou</t>
        </is>
      </c>
    </row>
    <row r="189">
      <c r="A189" s="236" t="inlineStr">
        <is>
          <t>Psicanalise Y Ciencia</t>
        </is>
      </c>
      <c r="B189" s="165" t="n">
        <v>1</v>
      </c>
      <c r="C189" s="68" t="n">
        <v>150</v>
      </c>
      <c r="D189" s="68">
        <f>C189</f>
        <v/>
      </c>
      <c r="E189" s="76" t="n"/>
      <c r="F189" s="110">
        <f>D189</f>
        <v/>
      </c>
      <c r="G189" s="69" t="n"/>
      <c r="H189" s="192" t="n">
        <v>45481</v>
      </c>
      <c r="I189" s="165" t="n"/>
      <c r="J189" s="112" t="n"/>
      <c r="K189" s="94" t="inlineStr">
        <is>
          <t>Retirou</t>
        </is>
      </c>
    </row>
    <row r="190">
      <c r="A190" s="236" t="inlineStr">
        <is>
          <t>Uma via pratica para sentres mejor</t>
        </is>
      </c>
      <c r="B190" s="165" t="n">
        <v>1</v>
      </c>
      <c r="C190" s="68" t="n">
        <v>160</v>
      </c>
      <c r="D190" s="68">
        <f>C190</f>
        <v/>
      </c>
      <c r="E190" s="76" t="n"/>
      <c r="F190" s="110">
        <f>D190</f>
        <v/>
      </c>
      <c r="G190" s="69" t="n"/>
      <c r="H190" s="185" t="n">
        <v>45481</v>
      </c>
      <c r="I190" s="165" t="n"/>
      <c r="J190" s="112" t="n"/>
      <c r="K190" s="94" t="inlineStr">
        <is>
          <t>Retirou</t>
        </is>
      </c>
    </row>
    <row r="191">
      <c r="A191" s="236" t="inlineStr">
        <is>
          <t>Retoquecitos</t>
        </is>
      </c>
      <c r="B191" s="165" t="n">
        <v>1</v>
      </c>
      <c r="C191" s="68" t="n">
        <v>75</v>
      </c>
      <c r="D191" s="68">
        <f>C191</f>
        <v/>
      </c>
      <c r="E191" s="76" t="n"/>
      <c r="F191" s="110">
        <f>D191</f>
        <v/>
      </c>
      <c r="G191" s="69" t="n"/>
      <c r="H191" s="192" t="n">
        <v>45481</v>
      </c>
      <c r="I191" s="165" t="n"/>
      <c r="J191" s="112" t="n"/>
      <c r="K191" s="94" t="inlineStr">
        <is>
          <t>Retirou</t>
        </is>
      </c>
    </row>
    <row r="192">
      <c r="A192" s="236" t="inlineStr">
        <is>
          <t>Nuevos Retoquecitos</t>
        </is>
      </c>
      <c r="B192" s="165" t="n">
        <v>1</v>
      </c>
      <c r="C192" s="68" t="n">
        <v>75</v>
      </c>
      <c r="D192" s="68">
        <f>C192</f>
        <v/>
      </c>
      <c r="E192" s="76" t="n"/>
      <c r="F192" s="110">
        <f>D192</f>
        <v/>
      </c>
      <c r="G192" s="69" t="n"/>
      <c r="H192" s="185" t="n">
        <v>45481</v>
      </c>
      <c r="I192" s="165" t="n"/>
      <c r="J192" s="112" t="n"/>
      <c r="K192" s="94" t="inlineStr">
        <is>
          <t>Retirou</t>
        </is>
      </c>
    </row>
    <row r="193">
      <c r="A193" s="236" t="inlineStr">
        <is>
          <t>Discurso que Atrapan Cuerpos</t>
        </is>
      </c>
      <c r="B193" s="165" t="n">
        <v>1</v>
      </c>
      <c r="C193" s="68" t="n">
        <v>145</v>
      </c>
      <c r="D193" s="68">
        <f>C193</f>
        <v/>
      </c>
      <c r="E193" s="90" t="n"/>
      <c r="F193" s="197">
        <f>D193</f>
        <v/>
      </c>
      <c r="G193" s="100" t="n"/>
      <c r="H193" s="190" t="n">
        <v>45481</v>
      </c>
      <c r="I193" s="94" t="n"/>
      <c r="J193" s="196" t="n"/>
      <c r="K193" s="94" t="inlineStr">
        <is>
          <t>Retirou</t>
        </is>
      </c>
    </row>
    <row r="194">
      <c r="A194" s="236" t="inlineStr">
        <is>
          <t>Discurso que Atrapan Cuerpos</t>
        </is>
      </c>
      <c r="B194" s="165" t="n">
        <v>1</v>
      </c>
      <c r="C194" s="68" t="n">
        <v>145</v>
      </c>
      <c r="D194" s="68">
        <f>C194</f>
        <v/>
      </c>
      <c r="E194" s="90" t="n"/>
      <c r="F194" s="110">
        <f>D194</f>
        <v/>
      </c>
      <c r="G194" s="69" t="n"/>
      <c r="H194" s="190" t="n">
        <v>45482</v>
      </c>
      <c r="I194" s="94" t="n"/>
      <c r="J194" s="196" t="n"/>
      <c r="K194" s="94" t="inlineStr">
        <is>
          <t>Retirou</t>
        </is>
      </c>
    </row>
    <row r="195">
      <c r="A195" s="236" t="inlineStr">
        <is>
          <t>Discurso que Atrapan Cuerpos</t>
        </is>
      </c>
      <c r="B195" s="165" t="n">
        <v>1</v>
      </c>
      <c r="C195" s="68" t="n">
        <v>145</v>
      </c>
      <c r="D195" s="68">
        <f>C195</f>
        <v/>
      </c>
      <c r="E195" s="76" t="n">
        <v>15</v>
      </c>
      <c r="F195" s="110">
        <f>D195+E195</f>
        <v/>
      </c>
      <c r="G195" s="69" t="n"/>
      <c r="H195" s="195" t="n">
        <v>45482</v>
      </c>
      <c r="I195" s="236" t="n"/>
      <c r="J195" s="118" t="n"/>
      <c r="K195" s="94" t="inlineStr">
        <is>
          <t>Retirou</t>
        </is>
      </c>
    </row>
    <row r="196">
      <c r="A196" s="236" t="inlineStr">
        <is>
          <t>O campo Uniano</t>
        </is>
      </c>
      <c r="B196" s="165" t="n">
        <v>2</v>
      </c>
      <c r="C196" s="68" t="n">
        <v>120</v>
      </c>
      <c r="D196" s="68">
        <f>B196*C196</f>
        <v/>
      </c>
      <c r="E196" s="76" t="n"/>
      <c r="F196" s="110">
        <f>D196</f>
        <v/>
      </c>
      <c r="G196" s="69" t="n"/>
      <c r="H196" s="195" t="n">
        <v>45483</v>
      </c>
      <c r="I196" s="236" t="n"/>
      <c r="J196" s="118" t="n"/>
      <c r="K196" s="94" t="inlineStr">
        <is>
          <t>Retirou</t>
        </is>
      </c>
    </row>
    <row r="197">
      <c r="A197" s="236" t="inlineStr">
        <is>
          <t>O Campo Uniano</t>
        </is>
      </c>
      <c r="B197" s="165" t="n">
        <v>1</v>
      </c>
      <c r="C197" s="68" t="n">
        <v>120</v>
      </c>
      <c r="D197" s="68">
        <f>B197*C197</f>
        <v/>
      </c>
      <c r="E197" s="76" t="n">
        <v>15</v>
      </c>
      <c r="F197" s="110">
        <f>D197+E197</f>
        <v/>
      </c>
      <c r="G197" s="69" t="n"/>
      <c r="H197" s="195" t="n">
        <v>45484</v>
      </c>
      <c r="I197" s="236" t="n"/>
      <c r="J197" s="118" t="n"/>
      <c r="K197" s="165" t="inlineStr">
        <is>
          <t>Enviou</t>
        </is>
      </c>
    </row>
    <row r="198">
      <c r="A198" s="236" t="inlineStr">
        <is>
          <t>O Campo Uniano</t>
        </is>
      </c>
      <c r="B198" s="165" t="n">
        <v>1</v>
      </c>
      <c r="C198" s="68" t="n">
        <v>120</v>
      </c>
      <c r="D198" s="68" t="n">
        <v>120</v>
      </c>
      <c r="E198" s="90" t="n">
        <v>15</v>
      </c>
      <c r="F198" s="197">
        <f>D198+E198</f>
        <v/>
      </c>
      <c r="G198" s="100" t="n"/>
      <c r="H198" s="190" t="n">
        <v>45484</v>
      </c>
      <c r="I198" s="94" t="n"/>
      <c r="J198" s="125" t="n"/>
      <c r="K198" s="94" t="inlineStr">
        <is>
          <t>Enviou</t>
        </is>
      </c>
    </row>
    <row r="199">
      <c r="A199" s="236" t="inlineStr">
        <is>
          <t>Foraclusão</t>
        </is>
      </c>
      <c r="B199" s="165" t="n">
        <v>1</v>
      </c>
      <c r="C199" s="68" t="n">
        <v>77</v>
      </c>
      <c r="D199" s="68" t="n">
        <v>77</v>
      </c>
      <c r="E199" s="76" t="n"/>
      <c r="F199" s="110">
        <f>D199</f>
        <v/>
      </c>
      <c r="G199" s="69" t="n"/>
      <c r="H199" s="195" t="n">
        <v>15</v>
      </c>
      <c r="I199" s="236" t="n"/>
      <c r="J199" s="118" t="n"/>
      <c r="K199" s="165" t="inlineStr">
        <is>
          <t>Retirou</t>
        </is>
      </c>
    </row>
    <row r="200">
      <c r="A200" s="236" t="inlineStr">
        <is>
          <t xml:space="preserve">Discurso que Atrapan Cuerpos </t>
        </is>
      </c>
      <c r="B200" s="165" t="n">
        <v>1</v>
      </c>
      <c r="C200" s="68" t="n">
        <v>145</v>
      </c>
      <c r="D200" s="68">
        <f>C200</f>
        <v/>
      </c>
      <c r="E200" s="76" t="n"/>
      <c r="F200" s="110">
        <f>D200</f>
        <v/>
      </c>
      <c r="G200" s="69" t="n"/>
      <c r="H200" s="195" t="n">
        <v>45489</v>
      </c>
      <c r="I200" s="236" t="n"/>
      <c r="J200" s="118" t="n"/>
      <c r="K200" s="165" t="inlineStr">
        <is>
          <t>Retirou</t>
        </is>
      </c>
    </row>
    <row r="201">
      <c r="A201" s="236" t="inlineStr">
        <is>
          <t>O Campo Uniano</t>
        </is>
      </c>
      <c r="B201" s="165" t="n">
        <v>1</v>
      </c>
      <c r="C201" s="68" t="n">
        <v>120</v>
      </c>
      <c r="D201" s="68">
        <f>C201</f>
        <v/>
      </c>
      <c r="E201" s="76" t="n"/>
      <c r="F201" s="110">
        <f>D201+E201</f>
        <v/>
      </c>
      <c r="G201" s="69" t="n"/>
      <c r="H201" s="195" t="n">
        <v>45490</v>
      </c>
      <c r="I201" s="236" t="n"/>
      <c r="J201" s="118" t="n"/>
      <c r="K201" s="165" t="inlineStr">
        <is>
          <t>Retirou</t>
        </is>
      </c>
    </row>
    <row r="202">
      <c r="A202" s="236" t="inlineStr">
        <is>
          <t>Introducccioón a Toxicacomanías y Alcolismo</t>
        </is>
      </c>
      <c r="B202" s="165" t="n">
        <v>1</v>
      </c>
      <c r="C202" s="68" t="n">
        <v>70</v>
      </c>
      <c r="D202" s="68">
        <f>C202</f>
        <v/>
      </c>
      <c r="E202" s="76" t="n"/>
      <c r="F202" s="197">
        <f>D202+E202</f>
        <v/>
      </c>
      <c r="G202" s="69" t="n"/>
      <c r="H202" s="195" t="n">
        <v>45492</v>
      </c>
      <c r="I202" s="236" t="n"/>
      <c r="J202" s="118" t="n"/>
      <c r="K202" s="165" t="inlineStr">
        <is>
          <t>Retirou</t>
        </is>
      </c>
    </row>
    <row r="203">
      <c r="A203" s="236" t="inlineStr">
        <is>
          <t>O Campo Uniano</t>
        </is>
      </c>
      <c r="B203" s="165" t="n">
        <v>1</v>
      </c>
      <c r="C203" s="68" t="n">
        <v>120</v>
      </c>
      <c r="D203" s="68">
        <f>C203</f>
        <v/>
      </c>
      <c r="E203" s="76" t="n">
        <v>15</v>
      </c>
      <c r="F203" s="197">
        <f>D203+E203</f>
        <v/>
      </c>
      <c r="G203" s="69" t="n"/>
      <c r="H203" s="195" t="n">
        <v>45496</v>
      </c>
      <c r="I203" s="236" t="n"/>
      <c r="J203" s="118" t="n"/>
      <c r="K203" s="165" t="inlineStr">
        <is>
          <t>Enviou</t>
        </is>
      </c>
    </row>
    <row r="204">
      <c r="A204" s="236" t="inlineStr">
        <is>
          <t>Uma Via Prática para Sentirse Mejor</t>
        </is>
      </c>
      <c r="B204" s="165" t="n">
        <v>1</v>
      </c>
      <c r="C204" s="68" t="n">
        <v>80</v>
      </c>
      <c r="D204" s="68">
        <f>C204</f>
        <v/>
      </c>
      <c r="E204" s="150" t="n"/>
      <c r="F204" s="197">
        <f>D204</f>
        <v/>
      </c>
      <c r="G204" s="100" t="n"/>
      <c r="H204" s="190" t="n">
        <v>45504</v>
      </c>
      <c r="I204" s="199" t="n"/>
      <c r="J204" s="125" t="n"/>
      <c r="K204" s="94" t="inlineStr">
        <is>
          <t>Retirou</t>
        </is>
      </c>
    </row>
    <row r="205">
      <c r="A205" s="236" t="inlineStr">
        <is>
          <t>El Muro de La Anorexia</t>
        </is>
      </c>
      <c r="B205" s="165" t="n">
        <v>1</v>
      </c>
      <c r="C205" s="68" t="n">
        <v>258</v>
      </c>
      <c r="D205" s="68">
        <f>C205</f>
        <v/>
      </c>
      <c r="E205" s="150" t="n"/>
      <c r="F205" s="197">
        <f>D205</f>
        <v/>
      </c>
      <c r="G205" s="100" t="n"/>
      <c r="H205" s="190" t="n">
        <v>45504</v>
      </c>
      <c r="I205" s="199" t="n"/>
      <c r="J205" s="125" t="n"/>
      <c r="K205" s="94" t="inlineStr">
        <is>
          <t>Retirou</t>
        </is>
      </c>
    </row>
    <row r="206">
      <c r="A206" s="200" t="inlineStr">
        <is>
          <t>IPB - Seminários  Clinica da Sexuação | Inibição, sintoma e angustia</t>
        </is>
      </c>
      <c r="B206" s="165" t="n">
        <v>1</v>
      </c>
      <c r="C206" s="68" t="n">
        <v>20</v>
      </c>
      <c r="D206" s="68">
        <f>C206</f>
        <v/>
      </c>
      <c r="E206" s="90" t="n"/>
      <c r="F206" s="197">
        <f>D206+E206</f>
        <v/>
      </c>
      <c r="G206" s="100" t="n"/>
      <c r="H206" s="190" t="n">
        <v>45505</v>
      </c>
      <c r="I206" s="94" t="n"/>
      <c r="J206" s="125" t="n"/>
      <c r="K206" s="94" t="inlineStr">
        <is>
          <t>Retirou</t>
        </is>
      </c>
    </row>
    <row r="207">
      <c r="A207" s="200" t="inlineStr">
        <is>
          <t>Foraclusão</t>
        </is>
      </c>
      <c r="B207" s="165" t="n">
        <v>1</v>
      </c>
      <c r="C207" s="68" t="n">
        <v>77</v>
      </c>
      <c r="D207" s="68">
        <f>C207</f>
        <v/>
      </c>
      <c r="E207" s="90" t="n"/>
      <c r="F207" s="197" t="n">
        <v>77</v>
      </c>
      <c r="G207" s="100" t="n"/>
      <c r="H207" s="190" t="n">
        <v>45505</v>
      </c>
      <c r="I207" s="94" t="n"/>
      <c r="J207" s="125" t="n"/>
      <c r="K207" s="94" t="inlineStr">
        <is>
          <t>Retirou</t>
        </is>
      </c>
    </row>
    <row r="208">
      <c r="A208" s="236" t="inlineStr">
        <is>
          <t>Discurso que Atrapan Cuerpos</t>
        </is>
      </c>
      <c r="B208" s="165" t="n">
        <v>1</v>
      </c>
      <c r="C208" s="68" t="n">
        <v>145</v>
      </c>
      <c r="D208" s="68">
        <f>C208</f>
        <v/>
      </c>
      <c r="E208" s="76" t="n"/>
      <c r="F208" s="197">
        <f>D208+E208</f>
        <v/>
      </c>
      <c r="G208" s="69" t="n"/>
      <c r="H208" s="195" t="n">
        <v>45505</v>
      </c>
      <c r="I208" s="236" t="n"/>
      <c r="J208" s="118" t="n"/>
      <c r="K208" s="165" t="inlineStr">
        <is>
          <t>Retirou</t>
        </is>
      </c>
    </row>
    <row r="209">
      <c r="A209" s="236" t="inlineStr">
        <is>
          <t>O Campo Uniano</t>
        </is>
      </c>
      <c r="B209" s="165" t="n">
        <v>1</v>
      </c>
      <c r="C209" s="68" t="n">
        <v>120</v>
      </c>
      <c r="D209" s="68">
        <f>C209</f>
        <v/>
      </c>
      <c r="E209" s="76" t="n"/>
      <c r="F209" s="197">
        <f>D209+E209</f>
        <v/>
      </c>
      <c r="G209" s="69" t="n"/>
      <c r="H209" s="195" t="n">
        <v>45509</v>
      </c>
      <c r="I209" s="236" t="n"/>
      <c r="J209" s="118" t="n"/>
      <c r="K209" s="165" t="inlineStr">
        <is>
          <t>Retirou</t>
        </is>
      </c>
    </row>
    <row r="210">
      <c r="A210" s="236" t="inlineStr">
        <is>
          <t>A Morete de Si</t>
        </is>
      </c>
      <c r="B210" s="165" t="n">
        <v>1</v>
      </c>
      <c r="C210" s="68" t="n">
        <v>78</v>
      </c>
      <c r="D210" s="68">
        <f>C210</f>
        <v/>
      </c>
      <c r="E210" s="76" t="n"/>
      <c r="F210" s="197">
        <f>D210+E210</f>
        <v/>
      </c>
      <c r="G210" s="69" t="n"/>
      <c r="H210" s="195" t="n">
        <v>45510</v>
      </c>
      <c r="I210" s="236" t="n"/>
      <c r="J210" s="118" t="n"/>
      <c r="K210" s="165" t="inlineStr">
        <is>
          <t>Retirou</t>
        </is>
      </c>
    </row>
    <row r="211">
      <c r="A211" s="236" t="inlineStr">
        <is>
          <t>Las Entrevistas Preliminares Y la entrada em análise</t>
        </is>
      </c>
      <c r="B211" s="165" t="n">
        <v>1</v>
      </c>
      <c r="C211" s="68" t="n">
        <v>125</v>
      </c>
      <c r="D211" s="68">
        <f>C211</f>
        <v/>
      </c>
      <c r="E211" s="90" t="n"/>
      <c r="F211" s="197">
        <f>D211+E211</f>
        <v/>
      </c>
      <c r="G211" s="100" t="n"/>
      <c r="H211" s="190" t="n">
        <v>45511</v>
      </c>
      <c r="I211" s="94" t="n"/>
      <c r="J211" s="125" t="n"/>
      <c r="K211" s="94" t="inlineStr">
        <is>
          <t>Retirou</t>
        </is>
      </c>
    </row>
    <row r="212">
      <c r="A212" s="236" t="inlineStr">
        <is>
          <t>O Campo Uniano</t>
        </is>
      </c>
      <c r="B212" s="165" t="n">
        <v>1</v>
      </c>
      <c r="C212" s="68" t="n">
        <v>120</v>
      </c>
      <c r="D212" s="68">
        <f>C212</f>
        <v/>
      </c>
      <c r="E212" s="90" t="n">
        <v>15</v>
      </c>
      <c r="F212" s="197">
        <f>D212+E212</f>
        <v/>
      </c>
      <c r="G212" s="100" t="n"/>
      <c r="H212" s="190" t="n">
        <v>45512</v>
      </c>
      <c r="I212" s="94" t="n"/>
      <c r="J212" s="125" t="n"/>
      <c r="K212" s="94" t="inlineStr">
        <is>
          <t>Enviou</t>
        </is>
      </c>
    </row>
    <row r="213">
      <c r="A213" s="236" t="inlineStr">
        <is>
          <t>Introducccioón a Toxicacomanías y Alcolismo</t>
        </is>
      </c>
      <c r="B213" s="165" t="n">
        <v>1</v>
      </c>
      <c r="C213" s="68" t="n">
        <v>70</v>
      </c>
      <c r="D213" s="68">
        <f>C213</f>
        <v/>
      </c>
      <c r="E213" s="90" t="n"/>
      <c r="F213" s="197">
        <f>D213+E213</f>
        <v/>
      </c>
      <c r="G213" s="69" t="n"/>
      <c r="H213" s="190" t="inlineStr">
        <is>
          <t>09/082024</t>
        </is>
      </c>
      <c r="I213" s="94" t="n"/>
      <c r="J213" s="125" t="n"/>
      <c r="K213" s="94" t="inlineStr">
        <is>
          <t>Retirou</t>
        </is>
      </c>
    </row>
    <row r="214">
      <c r="A214" s="236" t="inlineStr">
        <is>
          <t>Reinventar la escuela</t>
        </is>
      </c>
      <c r="B214" s="165" t="n">
        <v>1</v>
      </c>
      <c r="C214" s="68" t="n">
        <v>120</v>
      </c>
      <c r="D214" s="68">
        <f>C214</f>
        <v/>
      </c>
      <c r="E214" s="90" t="n"/>
      <c r="F214" s="197">
        <f>D214+E214</f>
        <v/>
      </c>
      <c r="G214" s="69" t="n"/>
      <c r="H214" s="190" t="n">
        <v>45516</v>
      </c>
      <c r="I214" s="94" t="n"/>
      <c r="J214" s="125" t="n"/>
      <c r="K214" s="94" t="inlineStr">
        <is>
          <t>Retitou</t>
        </is>
      </c>
    </row>
    <row r="215">
      <c r="A215" s="236" t="inlineStr">
        <is>
          <t>Las Entrevistas Preliminares Y la entrada em análise</t>
        </is>
      </c>
      <c r="B215" s="165" t="n">
        <v>1</v>
      </c>
      <c r="C215" s="68" t="n">
        <v>125</v>
      </c>
      <c r="D215" s="68">
        <f>C215</f>
        <v/>
      </c>
      <c r="E215" s="90" t="n"/>
      <c r="F215" s="197">
        <f>D215+E215</f>
        <v/>
      </c>
      <c r="G215" s="100" t="n"/>
      <c r="H215" s="190" t="n">
        <v>45516</v>
      </c>
      <c r="I215" s="94" t="n"/>
      <c r="J215" s="125" t="n"/>
      <c r="K215" s="94" t="inlineStr">
        <is>
          <t>Retirou</t>
        </is>
      </c>
    </row>
    <row r="216">
      <c r="A216" s="236" t="inlineStr">
        <is>
          <t>El padre em Cuestion</t>
        </is>
      </c>
      <c r="B216" s="165" t="n">
        <v>1</v>
      </c>
      <c r="C216" s="68" t="n">
        <v>130</v>
      </c>
      <c r="D216" s="68">
        <f>C216</f>
        <v/>
      </c>
      <c r="E216" s="90" t="n"/>
      <c r="F216" s="197">
        <f>D216+E216</f>
        <v/>
      </c>
      <c r="G216" s="69" t="n"/>
      <c r="H216" s="202" t="n">
        <v>45516</v>
      </c>
      <c r="I216" s="205" t="n"/>
      <c r="J216" s="206" t="n"/>
      <c r="K216" s="94" t="inlineStr">
        <is>
          <t>Retirou</t>
        </is>
      </c>
    </row>
    <row r="217">
      <c r="A217" s="236" t="inlineStr">
        <is>
          <t>Philip Dick com Jacques Lacan</t>
        </is>
      </c>
      <c r="B217" s="165" t="n">
        <v>1</v>
      </c>
      <c r="C217" s="68" t="n">
        <v>75</v>
      </c>
      <c r="D217" s="68">
        <f>C217</f>
        <v/>
      </c>
      <c r="E217" s="90" t="n"/>
      <c r="F217" s="197">
        <f>D217+E217</f>
        <v/>
      </c>
      <c r="G217" s="69" t="n"/>
      <c r="H217" s="202" t="inlineStr">
        <is>
          <t>12/08/224</t>
        </is>
      </c>
      <c r="I217" s="205" t="n"/>
      <c r="J217" s="206" t="n"/>
      <c r="K217" s="94" t="inlineStr">
        <is>
          <t>Retirou</t>
        </is>
      </c>
    </row>
    <row r="218">
      <c r="A218" s="236" t="inlineStr">
        <is>
          <t>Introducccioón a Toxicacomanías y Alcolismo</t>
        </is>
      </c>
      <c r="B218" s="165" t="n">
        <v>1</v>
      </c>
      <c r="C218" s="68" t="n">
        <v>70</v>
      </c>
      <c r="D218" s="68">
        <f>C218</f>
        <v/>
      </c>
      <c r="E218" s="90" t="n"/>
      <c r="F218" s="197">
        <f>D218+E218</f>
        <v/>
      </c>
      <c r="G218" s="100" t="n"/>
      <c r="H218" s="202" t="n">
        <v>45516</v>
      </c>
      <c r="I218" s="205" t="n"/>
      <c r="J218" s="206" t="n"/>
      <c r="K218" s="94" t="inlineStr">
        <is>
          <t>Retirou</t>
        </is>
      </c>
    </row>
    <row r="219">
      <c r="A219" s="236" t="inlineStr">
        <is>
          <t>Topologia del Amos</t>
        </is>
      </c>
      <c r="B219" s="165" t="n">
        <v>1</v>
      </c>
      <c r="C219" s="68" t="n">
        <v>100</v>
      </c>
      <c r="D219" s="68">
        <f>C219</f>
        <v/>
      </c>
      <c r="E219" s="76" t="n"/>
      <c r="F219" s="110">
        <f>D219+E219</f>
        <v/>
      </c>
      <c r="G219" s="69" t="n"/>
      <c r="H219" s="207" t="n">
        <v>45518</v>
      </c>
      <c r="I219" s="208" t="n"/>
      <c r="J219" s="209" t="n"/>
      <c r="K219" s="165" t="inlineStr">
        <is>
          <t>Retirou</t>
        </is>
      </c>
    </row>
    <row r="220">
      <c r="A220" s="236" t="inlineStr">
        <is>
          <t>Reinventar la escuela</t>
        </is>
      </c>
      <c r="B220" s="165" t="n">
        <v>1</v>
      </c>
      <c r="C220" s="68" t="n">
        <v>120</v>
      </c>
      <c r="D220" s="68">
        <f>C220</f>
        <v/>
      </c>
      <c r="E220" s="90" t="n"/>
      <c r="F220" s="197">
        <f>D220+E220</f>
        <v/>
      </c>
      <c r="G220" s="100" t="n"/>
      <c r="H220" s="202" t="n">
        <v>45518</v>
      </c>
      <c r="I220" s="205" t="n"/>
      <c r="J220" s="206" t="n"/>
      <c r="K220" s="165" t="inlineStr">
        <is>
          <t>Retirou</t>
        </is>
      </c>
    </row>
    <row r="221">
      <c r="A221" s="236" t="inlineStr">
        <is>
          <t>Seminário Neves Soria Dafunchi 1-Clinica da Sexuação</t>
        </is>
      </c>
      <c r="B221" s="165" t="n">
        <v>2</v>
      </c>
      <c r="C221" s="68" t="n">
        <v>40</v>
      </c>
      <c r="D221" s="68">
        <f>C221</f>
        <v/>
      </c>
      <c r="E221" s="76" t="n"/>
      <c r="F221" s="110">
        <f>D221+E221</f>
        <v/>
      </c>
      <c r="G221" s="69" t="n"/>
      <c r="H221" s="207" t="n">
        <v>45520</v>
      </c>
      <c r="I221" s="208" t="n"/>
      <c r="J221" s="209" t="n"/>
      <c r="K221" s="165" t="inlineStr">
        <is>
          <t>Retirou</t>
        </is>
      </c>
    </row>
    <row r="222">
      <c r="A222" s="236" t="inlineStr">
        <is>
          <t>Arquivo de Biblioteca 4</t>
        </is>
      </c>
      <c r="B222" s="165" t="n">
        <v>1</v>
      </c>
      <c r="C222" s="68" t="n">
        <v>20</v>
      </c>
      <c r="D222" s="68">
        <f>C222</f>
        <v/>
      </c>
      <c r="E222" s="76" t="n"/>
      <c r="F222" s="110">
        <f>D222+E222</f>
        <v/>
      </c>
      <c r="G222" s="69" t="n"/>
      <c r="H222" s="207" t="n">
        <v>45525</v>
      </c>
      <c r="I222" s="208" t="n"/>
      <c r="J222" s="209" t="n"/>
      <c r="K222" s="165" t="inlineStr">
        <is>
          <t>Retirou</t>
        </is>
      </c>
    </row>
    <row r="223">
      <c r="A223" s="236" t="inlineStr">
        <is>
          <t>Arquivo de Biblioteca 5</t>
        </is>
      </c>
      <c r="B223" s="165" t="n">
        <v>1</v>
      </c>
      <c r="C223" s="68" t="n">
        <v>20</v>
      </c>
      <c r="D223" s="68">
        <f>C223</f>
        <v/>
      </c>
      <c r="E223" s="76" t="n"/>
      <c r="F223" s="110">
        <f>D223+E223</f>
        <v/>
      </c>
      <c r="G223" s="69" t="n"/>
      <c r="H223" s="207" t="n">
        <v>45525</v>
      </c>
      <c r="I223" s="208" t="n"/>
      <c r="J223" s="209" t="n"/>
      <c r="K223" s="165" t="inlineStr">
        <is>
          <t>Retirou</t>
        </is>
      </c>
    </row>
    <row r="224">
      <c r="A224" s="236" t="inlineStr">
        <is>
          <t>Modo de Gozar em Feminino</t>
        </is>
      </c>
      <c r="B224" s="165" t="n">
        <v>1</v>
      </c>
      <c r="C224" s="68" t="n">
        <v>130</v>
      </c>
      <c r="D224" s="68">
        <f>C224</f>
        <v/>
      </c>
      <c r="E224" s="76" t="n"/>
      <c r="F224" s="110">
        <f>D224+E224</f>
        <v/>
      </c>
      <c r="G224" s="69" t="n"/>
      <c r="H224" s="207" t="n">
        <v>45525</v>
      </c>
      <c r="I224" s="208" t="n"/>
      <c r="J224" s="209" t="n"/>
      <c r="K224" s="165" t="inlineStr">
        <is>
          <t>Retirou</t>
        </is>
      </c>
    </row>
    <row r="225">
      <c r="A225" s="236" t="inlineStr">
        <is>
          <t>Escutas do indizível</t>
        </is>
      </c>
      <c r="B225" s="165" t="n">
        <v>1</v>
      </c>
      <c r="C225" s="68" t="n">
        <v>60</v>
      </c>
      <c r="D225" s="68">
        <f>C225</f>
        <v/>
      </c>
      <c r="E225" s="76" t="n"/>
      <c r="F225" s="110">
        <f>D225+E225</f>
        <v/>
      </c>
      <c r="G225" s="69" t="n"/>
      <c r="H225" s="207" t="n">
        <v>45161</v>
      </c>
      <c r="I225" s="208" t="n"/>
      <c r="J225" s="209" t="n"/>
      <c r="K225" s="165" t="inlineStr">
        <is>
          <t>Retirou</t>
        </is>
      </c>
    </row>
    <row r="226">
      <c r="A226" s="236" t="inlineStr">
        <is>
          <t>Reinventar la escuela</t>
        </is>
      </c>
      <c r="B226" s="165" t="n">
        <v>1</v>
      </c>
      <c r="C226" s="68" t="n">
        <v>120</v>
      </c>
      <c r="D226" s="68">
        <f>C226</f>
        <v/>
      </c>
      <c r="E226" s="90" t="n"/>
      <c r="F226" s="197">
        <f>D226+E226</f>
        <v/>
      </c>
      <c r="G226" s="100" t="n"/>
      <c r="H226" s="202" t="n">
        <v>45527</v>
      </c>
      <c r="I226" s="205" t="n"/>
      <c r="J226" s="209" t="n"/>
      <c r="K226" s="165" t="inlineStr">
        <is>
          <t>Retirou</t>
        </is>
      </c>
    </row>
    <row r="227">
      <c r="A227" s="236" t="inlineStr">
        <is>
          <t>Las Entrevistas Preliminares Y la entrada em análise</t>
        </is>
      </c>
      <c r="B227" s="165" t="n">
        <v>1</v>
      </c>
      <c r="C227" s="68" t="n">
        <v>125</v>
      </c>
      <c r="D227" s="68">
        <f>C227</f>
        <v/>
      </c>
      <c r="E227" s="76" t="n"/>
      <c r="F227" s="110">
        <f>D227+E227</f>
        <v/>
      </c>
      <c r="G227" s="69" t="n"/>
      <c r="H227" s="207" t="n">
        <v>45527</v>
      </c>
      <c r="I227" s="208" t="n"/>
      <c r="J227" s="209" t="n"/>
      <c r="K227" s="165" t="inlineStr">
        <is>
          <t>Retirou</t>
        </is>
      </c>
    </row>
    <row r="228">
      <c r="A228" s="236" t="inlineStr">
        <is>
          <t>Las Entrevistas Preliminares Y la entrada em análise</t>
        </is>
      </c>
      <c r="B228" s="165" t="n">
        <v>1</v>
      </c>
      <c r="C228" s="68" t="n">
        <v>125</v>
      </c>
      <c r="D228" s="68">
        <f>C228</f>
        <v/>
      </c>
      <c r="E228" s="76" t="n"/>
      <c r="F228" s="110">
        <f>D228+E228</f>
        <v/>
      </c>
      <c r="G228" s="69" t="n"/>
      <c r="H228" s="207" t="n">
        <v>45529</v>
      </c>
      <c r="I228" s="208" t="n"/>
      <c r="J228" s="209" t="n"/>
      <c r="K228" s="165" t="inlineStr">
        <is>
          <t>Retirou</t>
        </is>
      </c>
    </row>
    <row r="229">
      <c r="A229" s="236" t="inlineStr">
        <is>
          <t>Las Entrevistas Preliminares Y la entrada em análise</t>
        </is>
      </c>
      <c r="B229" s="165" t="n">
        <v>1</v>
      </c>
      <c r="C229" s="68" t="n">
        <v>125</v>
      </c>
      <c r="D229" s="68">
        <f>C229</f>
        <v/>
      </c>
      <c r="E229" s="76" t="n"/>
      <c r="F229" s="110">
        <f>D229+E229</f>
        <v/>
      </c>
      <c r="G229" s="69" t="n"/>
      <c r="H229" s="207" t="n">
        <v>45529</v>
      </c>
      <c r="I229" s="208" t="n"/>
      <c r="J229" s="209" t="n"/>
      <c r="K229" s="165" t="inlineStr">
        <is>
          <t>Retirou</t>
        </is>
      </c>
    </row>
    <row r="230">
      <c r="A230" s="236" t="inlineStr">
        <is>
          <t>El padre em Cuestion</t>
        </is>
      </c>
      <c r="B230" s="165" t="n">
        <v>1</v>
      </c>
      <c r="C230" s="68" t="n">
        <v>130</v>
      </c>
      <c r="D230" s="68">
        <f>C230</f>
        <v/>
      </c>
      <c r="E230" s="76" t="n"/>
      <c r="F230" s="110">
        <f>D230+E230</f>
        <v/>
      </c>
      <c r="G230" s="69" t="n"/>
      <c r="H230" s="207" t="n">
        <v>45532</v>
      </c>
      <c r="I230" s="208" t="n"/>
      <c r="J230" s="209" t="n"/>
      <c r="K230" s="165" t="inlineStr">
        <is>
          <t>Retirou</t>
        </is>
      </c>
    </row>
    <row r="231">
      <c r="A231" s="236" t="inlineStr">
        <is>
          <t>A Morte de Si</t>
        </is>
      </c>
      <c r="B231" s="165" t="n">
        <v>1</v>
      </c>
      <c r="C231" s="68" t="n">
        <v>78</v>
      </c>
      <c r="D231" s="68">
        <f>C231</f>
        <v/>
      </c>
      <c r="E231" s="76" t="n">
        <v>15</v>
      </c>
      <c r="F231" s="110">
        <f>D231+E231</f>
        <v/>
      </c>
      <c r="G231" s="69" t="n"/>
      <c r="H231" s="207" t="n">
        <v>45532</v>
      </c>
      <c r="I231" s="208" t="n"/>
      <c r="J231" s="209" t="n"/>
      <c r="K231" s="165" t="inlineStr">
        <is>
          <t>Enviou</t>
        </is>
      </c>
    </row>
    <row r="232">
      <c r="A232" s="236" t="inlineStr">
        <is>
          <t>O que é o autismo hoje?</t>
        </is>
      </c>
      <c r="B232" s="165" t="n">
        <v>1</v>
      </c>
      <c r="C232" s="68" t="n">
        <v>30</v>
      </c>
      <c r="D232" s="68">
        <f>C232</f>
        <v/>
      </c>
      <c r="E232" s="90" t="n"/>
      <c r="F232" s="197">
        <f>D232</f>
        <v/>
      </c>
      <c r="G232" s="100" t="n"/>
      <c r="H232" s="202" t="n">
        <v>45533</v>
      </c>
      <c r="I232" s="205" t="n"/>
      <c r="J232" s="206" t="n"/>
      <c r="K232" s="94" t="inlineStr">
        <is>
          <t>Retirou</t>
        </is>
      </c>
    </row>
    <row r="233">
      <c r="A233" s="236" t="inlineStr">
        <is>
          <t>O Campo Uniano</t>
        </is>
      </c>
      <c r="B233" s="165" t="n">
        <v>1</v>
      </c>
      <c r="C233" s="68" t="n">
        <v>120</v>
      </c>
      <c r="D233" s="68">
        <f>C233</f>
        <v/>
      </c>
      <c r="E233" s="76" t="n"/>
      <c r="F233" s="110">
        <f>D233</f>
        <v/>
      </c>
      <c r="G233" s="69" t="n"/>
      <c r="H233" s="207" t="n">
        <v>45534</v>
      </c>
      <c r="I233" s="208" t="n"/>
      <c r="J233" s="209" t="n"/>
      <c r="K233" s="94" t="inlineStr">
        <is>
          <t>Retirou</t>
        </is>
      </c>
    </row>
    <row r="234">
      <c r="A234" s="236" t="inlineStr">
        <is>
          <t>A Morte de Si</t>
        </is>
      </c>
      <c r="B234" s="165" t="n">
        <v>1</v>
      </c>
      <c r="C234" s="68" t="n">
        <v>78</v>
      </c>
      <c r="D234" s="68">
        <f>C234</f>
        <v/>
      </c>
      <c r="E234" s="76" t="n">
        <v>15</v>
      </c>
      <c r="F234" s="110">
        <f>D234+E234</f>
        <v/>
      </c>
      <c r="G234" s="69" t="n"/>
      <c r="H234" s="207" t="n">
        <v>45538</v>
      </c>
      <c r="I234" s="208" t="n"/>
      <c r="J234" s="209" t="n"/>
      <c r="K234" s="165" t="inlineStr">
        <is>
          <t>Enviou</t>
        </is>
      </c>
    </row>
    <row r="235">
      <c r="A235" s="236" t="inlineStr">
        <is>
          <t>A Morte de Si</t>
        </is>
      </c>
      <c r="B235" s="165" t="n">
        <v>1</v>
      </c>
      <c r="C235" s="68" t="n">
        <v>78</v>
      </c>
      <c r="D235" s="68">
        <f>C235</f>
        <v/>
      </c>
      <c r="E235" s="76" t="n"/>
      <c r="F235" s="110">
        <f>D235+E235</f>
        <v/>
      </c>
      <c r="G235" s="69" t="n"/>
      <c r="H235" s="207" t="n">
        <v>45539</v>
      </c>
      <c r="I235" s="208" t="n"/>
      <c r="J235" s="209" t="n"/>
      <c r="K235" s="165" t="inlineStr">
        <is>
          <t>Retirou</t>
        </is>
      </c>
    </row>
    <row r="236">
      <c r="A236" s="236" t="inlineStr">
        <is>
          <t>A Morte de Si</t>
        </is>
      </c>
      <c r="B236" s="165" t="n">
        <v>1</v>
      </c>
      <c r="C236" s="68" t="n">
        <v>78</v>
      </c>
      <c r="D236" s="68">
        <f>C236</f>
        <v/>
      </c>
      <c r="E236" s="76" t="n"/>
      <c r="F236" s="110">
        <f>D236+E236</f>
        <v/>
      </c>
      <c r="G236" s="69" t="n"/>
      <c r="H236" s="207" t="n">
        <v>45539</v>
      </c>
      <c r="I236" s="208" t="n"/>
      <c r="J236" s="209" t="n"/>
      <c r="K236" s="165" t="inlineStr">
        <is>
          <t>Retirou</t>
        </is>
      </c>
    </row>
    <row r="237">
      <c r="A237" s="236" t="inlineStr">
        <is>
          <t>Foraclusão e Suas Dores</t>
        </is>
      </c>
      <c r="B237" s="165" t="n">
        <v>1</v>
      </c>
      <c r="C237" s="68" t="n">
        <v>77</v>
      </c>
      <c r="D237" s="68">
        <f>C237</f>
        <v/>
      </c>
      <c r="E237" s="76" t="n"/>
      <c r="F237" s="110">
        <f>D237+E237</f>
        <v/>
      </c>
      <c r="G237" s="69" t="n"/>
      <c r="H237" s="207" t="n">
        <v>45539</v>
      </c>
      <c r="I237" s="208" t="n"/>
      <c r="J237" s="209" t="n"/>
      <c r="K237" s="165" t="inlineStr">
        <is>
          <t>Retirou</t>
        </is>
      </c>
    </row>
    <row r="238">
      <c r="A238" s="236" t="inlineStr">
        <is>
          <t>Inconsciente 3.0</t>
        </is>
      </c>
      <c r="B238" s="165" t="n">
        <v>1</v>
      </c>
      <c r="C238" s="68" t="n">
        <v>150</v>
      </c>
      <c r="D238" s="68">
        <f>C238</f>
        <v/>
      </c>
      <c r="E238" s="76" t="n"/>
      <c r="F238" s="110">
        <f>D238+E238</f>
        <v/>
      </c>
      <c r="G238" s="69" t="n"/>
      <c r="H238" s="207" t="n">
        <v>45539</v>
      </c>
      <c r="I238" s="208" t="n"/>
      <c r="J238" s="209" t="n"/>
      <c r="K238" s="165" t="inlineStr">
        <is>
          <t>Retirou</t>
        </is>
      </c>
    </row>
    <row r="239">
      <c r="A239" s="236" t="inlineStr">
        <is>
          <t>Foraclusão e suas Dores</t>
        </is>
      </c>
      <c r="B239" s="165" t="n">
        <v>1</v>
      </c>
      <c r="C239" s="68" t="n">
        <v>77</v>
      </c>
      <c r="D239" s="68">
        <f>C239</f>
        <v/>
      </c>
      <c r="E239" s="76" t="n"/>
      <c r="F239" s="110">
        <f>D239+E239</f>
        <v/>
      </c>
      <c r="G239" s="69" t="n"/>
      <c r="H239" s="207" t="n">
        <v>45546</v>
      </c>
      <c r="I239" s="208" t="n"/>
      <c r="J239" s="209" t="n"/>
      <c r="K239" s="165" t="inlineStr">
        <is>
          <t>Retirou</t>
        </is>
      </c>
    </row>
    <row r="240">
      <c r="A240" s="236" t="inlineStr">
        <is>
          <t>Foraclusão e Suas Dores</t>
        </is>
      </c>
      <c r="B240" s="165" t="n">
        <v>1</v>
      </c>
      <c r="C240" s="68" t="n">
        <v>77</v>
      </c>
      <c r="D240" s="68">
        <f>C240</f>
        <v/>
      </c>
      <c r="E240" s="76" t="n"/>
      <c r="F240" s="110">
        <f>D240+E240</f>
        <v/>
      </c>
      <c r="G240" s="69" t="n"/>
      <c r="H240" s="207" t="n">
        <v>45546</v>
      </c>
      <c r="I240" s="208" t="n"/>
      <c r="J240" s="209" t="n"/>
      <c r="K240" s="165" t="inlineStr">
        <is>
          <t>Retirou</t>
        </is>
      </c>
    </row>
    <row r="241">
      <c r="A241" s="236" t="inlineStr">
        <is>
          <t>El Obsessivo y su Despertar</t>
        </is>
      </c>
      <c r="B241" s="165" t="n">
        <v>1</v>
      </c>
      <c r="C241" s="68" t="n">
        <v>90</v>
      </c>
      <c r="D241" s="68">
        <f>C241</f>
        <v/>
      </c>
      <c r="E241" s="76" t="n"/>
      <c r="F241" s="110">
        <f>D241+E241</f>
        <v/>
      </c>
      <c r="G241" s="69" t="n"/>
      <c r="H241" s="207" t="n">
        <v>45547</v>
      </c>
      <c r="I241" s="208" t="n"/>
      <c r="J241" s="209" t="n"/>
      <c r="K241" s="165" t="inlineStr">
        <is>
          <t>Retirou</t>
        </is>
      </c>
    </row>
    <row r="242">
      <c r="A242" s="236" t="inlineStr">
        <is>
          <t>A Morte de Si</t>
        </is>
      </c>
      <c r="B242" s="165" t="n">
        <v>1</v>
      </c>
      <c r="C242" s="68" t="n">
        <v>75</v>
      </c>
      <c r="D242" s="68">
        <f>C242</f>
        <v/>
      </c>
      <c r="E242" s="76" t="n"/>
      <c r="F242" s="110">
        <f>D242+E242</f>
        <v/>
      </c>
      <c r="G242" s="69" t="n"/>
      <c r="H242" s="207" t="n">
        <v>45547</v>
      </c>
      <c r="I242" s="208" t="n"/>
      <c r="J242" s="209" t="n"/>
      <c r="K242" s="165" t="inlineStr">
        <is>
          <t>Retirou</t>
        </is>
      </c>
    </row>
    <row r="243">
      <c r="A243" s="236" t="inlineStr">
        <is>
          <t>Topologia del Amos</t>
        </is>
      </c>
      <c r="B243" s="165" t="n">
        <v>1</v>
      </c>
      <c r="C243" s="68" t="n">
        <v>100</v>
      </c>
      <c r="D243" s="68">
        <f>C243</f>
        <v/>
      </c>
      <c r="E243" s="76" t="n"/>
      <c r="F243" s="110">
        <f>D243+E243</f>
        <v/>
      </c>
      <c r="G243" s="69" t="n"/>
      <c r="H243" s="207" t="n">
        <v>45548</v>
      </c>
      <c r="I243" s="208" t="n"/>
      <c r="J243" s="209" t="n"/>
      <c r="K243" s="165" t="inlineStr">
        <is>
          <t>Retirou</t>
        </is>
      </c>
    </row>
    <row r="244">
      <c r="A244" s="236" t="inlineStr">
        <is>
          <t>El Obsesivo y su despertar</t>
        </is>
      </c>
      <c r="B244" s="165" t="n">
        <v>1</v>
      </c>
      <c r="C244" s="68" t="n">
        <v>90</v>
      </c>
      <c r="D244" s="68">
        <f>C244</f>
        <v/>
      </c>
      <c r="E244" s="76" t="n"/>
      <c r="F244" s="110">
        <f>D244+E244</f>
        <v/>
      </c>
      <c r="G244" s="69" t="n"/>
      <c r="H244" s="207" t="n">
        <v>45551</v>
      </c>
      <c r="I244" s="208" t="n"/>
      <c r="J244" s="209" t="n"/>
      <c r="K244" s="165" t="inlineStr">
        <is>
          <t>Retirou</t>
        </is>
      </c>
    </row>
    <row r="245">
      <c r="A245" s="236" t="inlineStr">
        <is>
          <t>El Obsesivo y su despertar</t>
        </is>
      </c>
      <c r="B245" s="165" t="n">
        <v>1</v>
      </c>
      <c r="C245" s="248" t="n">
        <v>90</v>
      </c>
      <c r="D245" s="248">
        <f>C245</f>
        <v/>
      </c>
      <c r="E245" s="248" t="n"/>
      <c r="F245" s="248">
        <f>D245+E245</f>
        <v/>
      </c>
      <c r="G245" s="236" t="n"/>
      <c r="H245" s="195" t="n">
        <v>45551</v>
      </c>
      <c r="I245" s="236" t="n"/>
      <c r="J245" s="118" t="n"/>
      <c r="K245" s="165" t="inlineStr">
        <is>
          <t>Retirou</t>
        </is>
      </c>
    </row>
    <row r="246">
      <c r="A246" s="236" t="inlineStr">
        <is>
          <t>El Obsesivo y su despertar</t>
        </is>
      </c>
      <c r="B246" s="165" t="n">
        <v>1</v>
      </c>
      <c r="C246" s="248" t="n">
        <v>90</v>
      </c>
      <c r="D246" s="248">
        <f>C246</f>
        <v/>
      </c>
      <c r="E246" s="248" t="n"/>
      <c r="F246" s="248">
        <f>D246+E246</f>
        <v/>
      </c>
      <c r="G246" s="236" t="n"/>
      <c r="H246" s="195" t="n">
        <v>45551</v>
      </c>
      <c r="I246" s="236" t="n"/>
      <c r="J246" s="118" t="n"/>
      <c r="K246" s="165" t="inlineStr">
        <is>
          <t>Retirou</t>
        </is>
      </c>
    </row>
    <row r="247">
      <c r="A247" s="236" t="inlineStr">
        <is>
          <t>O campo Uniano</t>
        </is>
      </c>
      <c r="B247" s="165" t="n">
        <v>1</v>
      </c>
      <c r="C247" s="248" t="n">
        <v>120</v>
      </c>
      <c r="D247" s="248">
        <f>C247</f>
        <v/>
      </c>
      <c r="E247" s="248" t="n"/>
      <c r="F247" s="248">
        <f>D247+E247</f>
        <v/>
      </c>
      <c r="G247" s="236" t="n"/>
      <c r="H247" s="195" t="n">
        <v>45551</v>
      </c>
      <c r="I247" s="236" t="n"/>
      <c r="J247" s="118" t="n"/>
      <c r="K247" s="165" t="inlineStr">
        <is>
          <t>Retirou</t>
        </is>
      </c>
    </row>
    <row r="248">
      <c r="A248" s="236" t="inlineStr">
        <is>
          <t>O campo Uniano</t>
        </is>
      </c>
      <c r="B248" s="165" t="n">
        <v>1</v>
      </c>
      <c r="C248" s="248" t="n">
        <v>120</v>
      </c>
      <c r="D248" s="248">
        <f>C248</f>
        <v/>
      </c>
      <c r="E248" s="248" t="n"/>
      <c r="F248" s="248">
        <f>D248+E248</f>
        <v/>
      </c>
      <c r="G248" s="236" t="n"/>
      <c r="H248" s="195" t="n">
        <v>45551</v>
      </c>
      <c r="I248" s="236" t="n"/>
      <c r="J248" s="118" t="n"/>
      <c r="K248" s="165" t="inlineStr">
        <is>
          <t>Retirou</t>
        </is>
      </c>
    </row>
    <row r="249">
      <c r="A249" s="236" t="inlineStr">
        <is>
          <t>Foraclusão e suas dores</t>
        </is>
      </c>
      <c r="B249" s="165" t="n">
        <v>1</v>
      </c>
      <c r="C249" s="248" t="n">
        <v>77</v>
      </c>
      <c r="D249" s="248">
        <f>C249</f>
        <v/>
      </c>
      <c r="E249" s="248" t="n"/>
      <c r="F249" s="248">
        <f>D249+E249</f>
        <v/>
      </c>
      <c r="G249" s="236" t="n"/>
      <c r="H249" s="195" t="n">
        <v>45551</v>
      </c>
      <c r="I249" s="236" t="n"/>
      <c r="J249" s="118" t="n"/>
      <c r="K249" s="165" t="inlineStr">
        <is>
          <t>Retirou</t>
        </is>
      </c>
    </row>
    <row r="250">
      <c r="A250" s="236" t="inlineStr">
        <is>
          <t>El sinsentido del sintoma</t>
        </is>
      </c>
      <c r="B250" s="165" t="n">
        <v>1</v>
      </c>
      <c r="C250" s="248" t="n">
        <v>95</v>
      </c>
      <c r="D250" s="248" t="n">
        <v>95</v>
      </c>
      <c r="E250" s="248" t="n"/>
      <c r="F250" s="248">
        <f>D250+E250</f>
        <v/>
      </c>
      <c r="G250" s="236" t="n"/>
      <c r="H250" s="195" t="n">
        <v>45551</v>
      </c>
      <c r="I250" s="236" t="n"/>
      <c r="J250" s="118" t="n"/>
      <c r="K250" s="165" t="inlineStr">
        <is>
          <t>Retirou</t>
        </is>
      </c>
    </row>
    <row r="251">
      <c r="A251" s="236" t="inlineStr">
        <is>
          <t>El Obsesivo y su despertar</t>
        </is>
      </c>
      <c r="B251" s="165" t="n">
        <v>1</v>
      </c>
      <c r="C251" s="248" t="n">
        <v>90</v>
      </c>
      <c r="D251" s="248">
        <f>C251</f>
        <v/>
      </c>
      <c r="E251" s="248" t="n"/>
      <c r="F251" s="248">
        <f>D251+E251</f>
        <v/>
      </c>
      <c r="G251" s="236" t="n"/>
      <c r="H251" s="195" t="n">
        <v>45551</v>
      </c>
      <c r="I251" s="236" t="n"/>
      <c r="J251" s="118" t="n"/>
      <c r="K251" s="165" t="inlineStr">
        <is>
          <t>Retirou</t>
        </is>
      </c>
    </row>
    <row r="252">
      <c r="A252" s="236" t="inlineStr">
        <is>
          <t>Topologia do Amor</t>
        </is>
      </c>
      <c r="B252" s="165" t="n">
        <v>1</v>
      </c>
      <c r="C252" s="248" t="n">
        <v>100</v>
      </c>
      <c r="D252" s="248">
        <f>C252</f>
        <v/>
      </c>
      <c r="E252" s="248" t="n"/>
      <c r="F252" s="248">
        <f>D252+E252</f>
        <v/>
      </c>
      <c r="G252" s="236" t="n"/>
      <c r="H252" s="195" t="n">
        <v>45553</v>
      </c>
      <c r="I252" s="236" t="n"/>
      <c r="J252" s="118" t="n"/>
      <c r="K252" s="165" t="inlineStr">
        <is>
          <t>Retirou</t>
        </is>
      </c>
    </row>
    <row r="253">
      <c r="A253" s="236" t="inlineStr">
        <is>
          <t>Seminário Neves Soria Dafunchi 1-Clinica da Sexuação</t>
        </is>
      </c>
      <c r="B253" s="165" t="n">
        <v>1</v>
      </c>
      <c r="C253" s="248" t="n">
        <v>20</v>
      </c>
      <c r="D253" s="248">
        <f>C253</f>
        <v/>
      </c>
      <c r="E253" s="248" t="n"/>
      <c r="F253" s="248">
        <f>D253+E253</f>
        <v/>
      </c>
      <c r="G253" s="236" t="n"/>
      <c r="H253" s="195" t="n">
        <v>45553</v>
      </c>
      <c r="I253" s="236" t="n"/>
      <c r="J253" s="118" t="n"/>
      <c r="K253" s="165" t="inlineStr">
        <is>
          <t>Retirou</t>
        </is>
      </c>
    </row>
    <row r="254">
      <c r="A254" s="236" t="inlineStr">
        <is>
          <t>El Fantasma Aún</t>
        </is>
      </c>
      <c r="B254" s="165" t="n">
        <v>1</v>
      </c>
      <c r="C254" s="248" t="n">
        <v>112</v>
      </c>
      <c r="D254" s="248">
        <f>C254</f>
        <v/>
      </c>
      <c r="E254" s="248" t="n"/>
      <c r="F254" s="248">
        <f>D254+E254</f>
        <v/>
      </c>
      <c r="G254" s="236" t="n"/>
      <c r="H254" s="195" t="n">
        <v>45558</v>
      </c>
      <c r="I254" s="236" t="n"/>
      <c r="J254" s="118" t="n"/>
      <c r="K254" s="165" t="inlineStr">
        <is>
          <t>Retirou</t>
        </is>
      </c>
    </row>
    <row r="255">
      <c r="A255" s="236" t="inlineStr">
        <is>
          <t>Leituras do Seminário ... Ou Pior</t>
        </is>
      </c>
      <c r="B255" s="165" t="n">
        <v>1</v>
      </c>
      <c r="C255" s="248" t="n">
        <v>60</v>
      </c>
      <c r="D255" s="248">
        <f>C255</f>
        <v/>
      </c>
      <c r="E255" s="248" t="n"/>
      <c r="F255" s="248">
        <f>D255+E255</f>
        <v/>
      </c>
      <c r="G255" s="236" t="n"/>
      <c r="H255" s="195" t="n">
        <v>45558</v>
      </c>
      <c r="I255" s="236" t="n"/>
      <c r="J255" s="118" t="n"/>
      <c r="K255" s="165" t="inlineStr">
        <is>
          <t>Retirou</t>
        </is>
      </c>
    </row>
    <row r="256">
      <c r="A256" s="236" t="inlineStr">
        <is>
          <t>A Paixão</t>
        </is>
      </c>
      <c r="B256" s="165" t="n">
        <v>1</v>
      </c>
      <c r="C256" s="248" t="n">
        <v>67</v>
      </c>
      <c r="D256" s="248">
        <f>C256</f>
        <v/>
      </c>
      <c r="E256" s="248" t="n"/>
      <c r="F256" s="248">
        <f>D256+E256</f>
        <v/>
      </c>
      <c r="G256" s="236" t="n"/>
      <c r="H256" s="186" t="n">
        <v>45559</v>
      </c>
      <c r="I256" s="236" t="n"/>
      <c r="J256" s="118" t="n"/>
      <c r="K256" s="165" t="inlineStr">
        <is>
          <t>Retirou</t>
        </is>
      </c>
    </row>
    <row r="257">
      <c r="A257" s="236" t="inlineStr">
        <is>
          <t>A Paixão</t>
        </is>
      </c>
      <c r="B257" s="165" t="n">
        <v>1</v>
      </c>
      <c r="C257" s="248" t="n">
        <v>67</v>
      </c>
      <c r="D257" s="248">
        <f>C257</f>
        <v/>
      </c>
      <c r="E257" s="248" t="n"/>
      <c r="F257" s="248">
        <f>D257+E257</f>
        <v/>
      </c>
      <c r="G257" s="236" t="n"/>
      <c r="H257" s="186" t="n">
        <v>45560</v>
      </c>
      <c r="I257" s="236" t="n"/>
      <c r="J257" s="118" t="n"/>
      <c r="K257" s="165" t="inlineStr">
        <is>
          <t>Retirou</t>
        </is>
      </c>
    </row>
    <row r="258">
      <c r="A258" s="236" t="inlineStr">
        <is>
          <t>Modo de Gozar em Feminino</t>
        </is>
      </c>
      <c r="B258" s="165" t="n">
        <v>1</v>
      </c>
      <c r="C258" s="248" t="n">
        <v>130</v>
      </c>
      <c r="D258" s="248">
        <f>C258</f>
        <v/>
      </c>
      <c r="E258" s="248" t="n"/>
      <c r="F258" s="248">
        <f>D258+E258</f>
        <v/>
      </c>
      <c r="G258" s="236" t="n"/>
      <c r="H258" s="186" t="n">
        <v>45560</v>
      </c>
      <c r="I258" s="236" t="n"/>
      <c r="J258" s="118" t="n"/>
      <c r="K258" s="165" t="inlineStr">
        <is>
          <t>Retirou</t>
        </is>
      </c>
    </row>
    <row r="259">
      <c r="A259" s="236" t="inlineStr">
        <is>
          <t>Foraclusão e Suas Dores</t>
        </is>
      </c>
      <c r="B259" s="165" t="n">
        <v>1</v>
      </c>
      <c r="C259" s="248" t="n">
        <v>70</v>
      </c>
      <c r="D259" s="248">
        <f>C259</f>
        <v/>
      </c>
      <c r="E259" s="248" t="n"/>
      <c r="F259" s="248">
        <f>D259+E259</f>
        <v/>
      </c>
      <c r="G259" s="236" t="n"/>
      <c r="H259" s="186" t="n">
        <v>45560</v>
      </c>
      <c r="I259" s="236" t="n"/>
      <c r="J259" s="118" t="n"/>
      <c r="K259" s="165" t="inlineStr">
        <is>
          <t>Retirou</t>
        </is>
      </c>
    </row>
    <row r="260">
      <c r="A260" s="236" t="inlineStr">
        <is>
          <t>Escutas do indizível</t>
        </is>
      </c>
      <c r="B260" s="165" t="n">
        <v>1</v>
      </c>
      <c r="C260" s="248" t="n">
        <v>60</v>
      </c>
      <c r="D260" s="248">
        <f>C260</f>
        <v/>
      </c>
      <c r="E260" s="248" t="n"/>
      <c r="F260" s="248">
        <f>D260+E260</f>
        <v/>
      </c>
      <c r="G260" s="236" t="n"/>
      <c r="H260" s="186" t="n">
        <v>45560</v>
      </c>
      <c r="I260" s="236" t="n"/>
      <c r="J260" s="118" t="n"/>
      <c r="K260" s="165" t="inlineStr">
        <is>
          <t>Retirou</t>
        </is>
      </c>
    </row>
    <row r="261">
      <c r="A261" s="236" t="inlineStr">
        <is>
          <t>O campo Uniano</t>
        </is>
      </c>
      <c r="B261" s="165" t="n">
        <v>1</v>
      </c>
      <c r="C261" s="248" t="n">
        <v>120</v>
      </c>
      <c r="D261" s="248">
        <f>C261</f>
        <v/>
      </c>
      <c r="E261" s="248" t="n"/>
      <c r="F261" s="248">
        <f>D261+E261</f>
        <v/>
      </c>
      <c r="G261" s="236" t="n"/>
      <c r="H261" s="186" t="n">
        <v>45560</v>
      </c>
      <c r="I261" s="236" t="n"/>
      <c r="J261" s="118" t="n"/>
      <c r="K261" s="165" t="inlineStr">
        <is>
          <t>Retirou</t>
        </is>
      </c>
    </row>
    <row r="262">
      <c r="A262" s="236" t="inlineStr">
        <is>
          <t>MUTACIONAES - Hacia Uma Clínica</t>
        </is>
      </c>
      <c r="B262" s="165" t="n">
        <v>1</v>
      </c>
      <c r="C262" s="248" t="n">
        <v>155</v>
      </c>
      <c r="D262" s="248">
        <f>C262</f>
        <v/>
      </c>
      <c r="E262" s="248" t="n"/>
      <c r="F262" s="248">
        <f>D262+E262</f>
        <v/>
      </c>
      <c r="G262" s="236" t="n"/>
      <c r="H262" s="186" t="n">
        <v>45561</v>
      </c>
      <c r="I262" s="236" t="n"/>
      <c r="J262" s="118" t="n"/>
      <c r="K262" s="165" t="inlineStr">
        <is>
          <t>Retirou</t>
        </is>
      </c>
    </row>
    <row r="263">
      <c r="A263" s="236" t="inlineStr">
        <is>
          <t>Escutas Indizíveis</t>
        </is>
      </c>
      <c r="B263" s="165" t="n">
        <v>1</v>
      </c>
      <c r="C263" s="248" t="n">
        <v>60</v>
      </c>
      <c r="D263" s="248">
        <f>C263</f>
        <v/>
      </c>
      <c r="E263" s="248" t="n"/>
      <c r="F263" s="248">
        <f>D263+E263</f>
        <v/>
      </c>
      <c r="G263" s="236" t="n"/>
      <c r="H263" s="186" t="n">
        <v>45565</v>
      </c>
      <c r="I263" s="236" t="n"/>
      <c r="J263" s="118" t="n"/>
      <c r="K263" s="165" t="inlineStr">
        <is>
          <t>Retirou</t>
        </is>
      </c>
    </row>
    <row r="264">
      <c r="A264" s="236" t="inlineStr">
        <is>
          <t>Foraclusão</t>
        </is>
      </c>
      <c r="B264" s="165" t="n">
        <v>1</v>
      </c>
      <c r="C264" s="248" t="n">
        <v>77</v>
      </c>
      <c r="D264" s="248">
        <f>C264</f>
        <v/>
      </c>
      <c r="E264" s="248" t="n"/>
      <c r="F264" s="248">
        <f>D264+E264</f>
        <v/>
      </c>
      <c r="G264" s="236" t="n"/>
      <c r="H264" s="186" t="n">
        <v>45565</v>
      </c>
      <c r="I264" s="236" t="n"/>
      <c r="J264" s="118" t="n"/>
      <c r="K264" s="165" t="inlineStr">
        <is>
          <t>Retirou</t>
        </is>
      </c>
    </row>
    <row r="265">
      <c r="A265" s="236" t="inlineStr">
        <is>
          <t>Lacan é a solução</t>
        </is>
      </c>
      <c r="B265" s="165" t="n">
        <v>1</v>
      </c>
      <c r="C265" s="248" t="n">
        <v>55</v>
      </c>
      <c r="D265" s="248">
        <f>C265</f>
        <v/>
      </c>
      <c r="E265" s="248" t="n"/>
      <c r="F265" s="248">
        <f>D265+E265</f>
        <v/>
      </c>
      <c r="G265" s="236" t="n"/>
      <c r="H265" s="186" t="n">
        <v>45567</v>
      </c>
      <c r="I265" s="236" t="n"/>
      <c r="J265" s="118" t="n"/>
      <c r="K265" s="165" t="inlineStr">
        <is>
          <t>Retirou</t>
        </is>
      </c>
    </row>
    <row r="266">
      <c r="A266" s="236" t="inlineStr">
        <is>
          <t>O feminino infamiliar</t>
        </is>
      </c>
      <c r="B266" s="165" t="n">
        <v>1</v>
      </c>
      <c r="C266" s="248" t="n">
        <v>68</v>
      </c>
      <c r="D266" s="248">
        <f>C266</f>
        <v/>
      </c>
      <c r="E266" s="248" t="n"/>
      <c r="F266" s="248">
        <f>D266+E266</f>
        <v/>
      </c>
      <c r="G266" s="248" t="n"/>
      <c r="H266" s="186" t="n">
        <v>45567</v>
      </c>
      <c r="I266" s="236" t="n"/>
      <c r="J266" s="118" t="n"/>
      <c r="K266" s="165" t="inlineStr">
        <is>
          <t>Retirou</t>
        </is>
      </c>
    </row>
    <row r="267">
      <c r="A267" s="236" t="inlineStr">
        <is>
          <t>Foraclusão</t>
        </is>
      </c>
      <c r="B267" s="165" t="n">
        <v>1</v>
      </c>
      <c r="C267" s="248" t="n">
        <v>77</v>
      </c>
      <c r="D267" s="248">
        <f>C267</f>
        <v/>
      </c>
      <c r="E267" s="248" t="n"/>
      <c r="F267" s="248">
        <f>D267+E267</f>
        <v/>
      </c>
      <c r="G267" s="248" t="n"/>
      <c r="H267" s="186" t="n">
        <v>45569</v>
      </c>
      <c r="I267" s="236" t="n"/>
      <c r="J267" s="118" t="n"/>
      <c r="K267" s="165" t="inlineStr">
        <is>
          <t>Retirou</t>
        </is>
      </c>
    </row>
    <row r="268">
      <c r="A268" s="236" t="inlineStr">
        <is>
          <t>El autismo entre lalengua</t>
        </is>
      </c>
      <c r="B268" s="165" t="n">
        <v>1</v>
      </c>
      <c r="C268" s="248" t="n">
        <v>110</v>
      </c>
      <c r="D268" s="248">
        <f>C268</f>
        <v/>
      </c>
      <c r="E268" s="248" t="n"/>
      <c r="F268" s="248">
        <f>D268+E268</f>
        <v/>
      </c>
      <c r="G268" s="248" t="n"/>
      <c r="H268" s="186" t="n">
        <v>45569</v>
      </c>
      <c r="I268" s="236" t="n"/>
      <c r="J268" s="118" t="n"/>
      <c r="K268" s="165" t="inlineStr">
        <is>
          <t>Retirou</t>
        </is>
      </c>
    </row>
    <row r="269">
      <c r="A269" s="236" t="inlineStr">
        <is>
          <t>La angústia lacaniana</t>
        </is>
      </c>
      <c r="B269" s="165" t="n">
        <v>1</v>
      </c>
      <c r="C269" s="248" t="n">
        <v>150</v>
      </c>
      <c r="D269" s="248">
        <f>C269</f>
        <v/>
      </c>
      <c r="E269" s="236" t="n"/>
      <c r="F269" s="248">
        <f>D269+E269</f>
        <v/>
      </c>
      <c r="G269" s="236" t="n"/>
      <c r="H269" s="186" t="n">
        <v>45569</v>
      </c>
      <c r="I269" s="236" t="n"/>
      <c r="J269" s="118" t="n"/>
      <c r="K269" s="165" t="inlineStr">
        <is>
          <t>Retirou</t>
        </is>
      </c>
    </row>
    <row r="270">
      <c r="A270" s="236" t="inlineStr">
        <is>
          <t>Escutas do indizível</t>
        </is>
      </c>
      <c r="B270" s="165" t="n">
        <v>1</v>
      </c>
      <c r="C270" s="248" t="n">
        <v>60</v>
      </c>
      <c r="D270" s="248">
        <f>C270</f>
        <v/>
      </c>
      <c r="E270" s="248" t="n"/>
      <c r="F270" s="248">
        <f>D270+E270</f>
        <v/>
      </c>
      <c r="G270" s="248" t="n"/>
      <c r="H270" s="186" t="n">
        <v>45574</v>
      </c>
      <c r="I270" s="236" t="n"/>
      <c r="J270" s="118" t="n"/>
      <c r="K270" s="165" t="inlineStr">
        <is>
          <t>Retirou</t>
        </is>
      </c>
    </row>
    <row r="271">
      <c r="A271" s="236" t="inlineStr">
        <is>
          <t>Foraclusão e suas dores</t>
        </is>
      </c>
      <c r="B271" s="165" t="n">
        <v>1</v>
      </c>
      <c r="C271" s="248" t="n">
        <v>77</v>
      </c>
      <c r="D271" s="248">
        <f>C271</f>
        <v/>
      </c>
      <c r="E271" s="248" t="n"/>
      <c r="F271" s="248">
        <f>D271+E271</f>
        <v/>
      </c>
      <c r="G271" s="248" t="n"/>
      <c r="H271" s="186" t="n">
        <v>45576</v>
      </c>
      <c r="I271" s="236" t="n"/>
      <c r="J271" s="118" t="n"/>
      <c r="K271" s="165" t="inlineStr">
        <is>
          <t>Retirou</t>
        </is>
      </c>
    </row>
    <row r="272">
      <c r="A272" s="236" t="inlineStr">
        <is>
          <t>Las Entrevistas Preliminares Y la entrada em análise</t>
        </is>
      </c>
      <c r="B272" s="165" t="n">
        <v>1</v>
      </c>
      <c r="C272" s="248" t="n">
        <v>125</v>
      </c>
      <c r="D272" s="248">
        <f>C272</f>
        <v/>
      </c>
      <c r="E272" s="248" t="n"/>
      <c r="F272" s="248">
        <f>D272+E272</f>
        <v/>
      </c>
      <c r="G272" s="248" t="n"/>
      <c r="H272" s="186" t="n">
        <v>45576</v>
      </c>
      <c r="I272" s="236" t="n"/>
      <c r="J272" s="118" t="n"/>
      <c r="K272" s="165" t="inlineStr">
        <is>
          <t>Retirou</t>
        </is>
      </c>
    </row>
    <row r="273">
      <c r="A273" s="236" t="inlineStr">
        <is>
          <t>Revistas Correio</t>
        </is>
      </c>
      <c r="B273" s="165" t="n">
        <v>15</v>
      </c>
      <c r="C273" s="248" t="n">
        <v>150</v>
      </c>
      <c r="D273" s="248">
        <f>C273</f>
        <v/>
      </c>
      <c r="E273" s="248" t="n"/>
      <c r="F273" s="248">
        <f>D273+E273</f>
        <v/>
      </c>
      <c r="G273" s="248" t="n"/>
      <c r="H273" s="186" t="n">
        <v>45576</v>
      </c>
      <c r="I273" s="236" t="n"/>
      <c r="J273" s="118" t="n"/>
      <c r="K273" s="165" t="inlineStr">
        <is>
          <t>Retirou</t>
        </is>
      </c>
    </row>
    <row r="274">
      <c r="A274" s="236" t="inlineStr">
        <is>
          <t>Escutas Indizíveis</t>
        </is>
      </c>
      <c r="B274" s="165" t="n">
        <v>1</v>
      </c>
      <c r="C274" s="248" t="n">
        <v>60</v>
      </c>
      <c r="D274" s="248">
        <f>C274</f>
        <v/>
      </c>
      <c r="E274" s="248" t="n"/>
      <c r="F274" s="248">
        <f>D274+E274</f>
        <v/>
      </c>
      <c r="G274" s="236" t="n"/>
      <c r="H274" s="186" t="n">
        <v>45586</v>
      </c>
      <c r="I274" s="236" t="n"/>
      <c r="J274" s="118" t="n"/>
      <c r="K274" s="165" t="inlineStr">
        <is>
          <t>Retirou</t>
        </is>
      </c>
    </row>
    <row r="275">
      <c r="A275" s="236" t="inlineStr">
        <is>
          <t>Mulheres Empilhadas</t>
        </is>
      </c>
      <c r="B275" s="165" t="n">
        <v>1</v>
      </c>
      <c r="C275" s="248" t="n">
        <v>50</v>
      </c>
      <c r="D275" s="248">
        <f>C275</f>
        <v/>
      </c>
      <c r="E275" s="248" t="n"/>
      <c r="F275" s="248">
        <f>D275+E275</f>
        <v/>
      </c>
      <c r="G275" s="236" t="n"/>
      <c r="H275" s="186" t="n">
        <v>45587</v>
      </c>
      <c r="I275" s="236" t="n"/>
      <c r="J275" s="118" t="n"/>
      <c r="K275" s="165" t="inlineStr">
        <is>
          <t>Retirou</t>
        </is>
      </c>
    </row>
    <row r="276">
      <c r="A276" s="236" t="inlineStr">
        <is>
          <t>Reinventar La Escuela</t>
        </is>
      </c>
      <c r="B276" s="165" t="n">
        <v>1</v>
      </c>
      <c r="C276" s="248" t="n">
        <v>120</v>
      </c>
      <c r="D276" s="248">
        <f>C276</f>
        <v/>
      </c>
      <c r="E276" s="248" t="n"/>
      <c r="F276" s="248">
        <f>D276+E276</f>
        <v/>
      </c>
      <c r="G276" s="236" t="n"/>
      <c r="H276" s="186" t="n">
        <v>45587</v>
      </c>
      <c r="I276" s="236" t="n"/>
      <c r="J276" s="118" t="n"/>
      <c r="K276" s="165" t="inlineStr">
        <is>
          <t>Retirou</t>
        </is>
      </c>
    </row>
    <row r="277">
      <c r="A277" s="236" t="inlineStr">
        <is>
          <t>Agetnte 19</t>
        </is>
      </c>
      <c r="B277" s="165" t="n">
        <v>1</v>
      </c>
      <c r="C277" s="248" t="n">
        <v>50</v>
      </c>
      <c r="D277" s="248">
        <f>C277</f>
        <v/>
      </c>
      <c r="E277" s="248" t="n"/>
      <c r="F277" s="248">
        <f>D277+E277</f>
        <v/>
      </c>
      <c r="G277" s="236" t="n"/>
      <c r="H277" s="186" t="n">
        <v>45587</v>
      </c>
      <c r="I277" s="236" t="n"/>
      <c r="J277" s="118" t="n"/>
      <c r="K277" s="165" t="inlineStr">
        <is>
          <t>Retirou</t>
        </is>
      </c>
    </row>
    <row r="278">
      <c r="A278" s="236" t="inlineStr">
        <is>
          <t>Agente 20</t>
        </is>
      </c>
      <c r="B278" s="165" t="n">
        <v>1</v>
      </c>
      <c r="C278" s="248" t="n">
        <v>70</v>
      </c>
      <c r="D278" s="248">
        <f>C278</f>
        <v/>
      </c>
      <c r="E278" s="248" t="n"/>
      <c r="F278" s="248">
        <f>D278+E278</f>
        <v/>
      </c>
      <c r="G278" s="236" t="n"/>
      <c r="H278" s="186" t="n">
        <v>45587</v>
      </c>
      <c r="I278" s="236" t="n"/>
      <c r="J278" s="118" t="n"/>
      <c r="K278" s="165" t="inlineStr">
        <is>
          <t>Retirou</t>
        </is>
      </c>
    </row>
    <row r="279">
      <c r="A279" s="236" t="inlineStr">
        <is>
          <t>Agente 21</t>
        </is>
      </c>
      <c r="B279" s="165" t="n">
        <v>1</v>
      </c>
      <c r="C279" s="248" t="n">
        <v>70</v>
      </c>
      <c r="D279" s="248">
        <f>C279</f>
        <v/>
      </c>
      <c r="E279" s="248" t="n"/>
      <c r="F279" s="248">
        <f>D279+E279</f>
        <v/>
      </c>
      <c r="G279" s="236" t="n"/>
      <c r="H279" s="186" t="n">
        <v>45587</v>
      </c>
      <c r="I279" s="236" t="n"/>
      <c r="J279" s="118" t="n"/>
      <c r="K279" s="165" t="inlineStr">
        <is>
          <t>Retirou</t>
        </is>
      </c>
    </row>
    <row r="280">
      <c r="A280" s="236" t="inlineStr">
        <is>
          <t>As Paixões do Parlêtre</t>
        </is>
      </c>
      <c r="B280" s="165" t="n">
        <v>1</v>
      </c>
      <c r="C280" s="248" t="n">
        <v>90</v>
      </c>
      <c r="D280" s="248">
        <f>C280</f>
        <v/>
      </c>
      <c r="E280" s="248" t="n"/>
      <c r="F280" s="248">
        <f>D280+E280</f>
        <v/>
      </c>
      <c r="G280" s="236" t="n"/>
      <c r="H280" s="186" t="n">
        <v>45588</v>
      </c>
      <c r="I280" s="236" t="n"/>
      <c r="J280" s="118" t="n"/>
      <c r="K280" s="165" t="inlineStr">
        <is>
          <t>Retirou</t>
        </is>
      </c>
    </row>
    <row r="281">
      <c r="A281" s="111" t="inlineStr">
        <is>
          <t>Agente 21</t>
        </is>
      </c>
      <c r="B281" s="84" t="n">
        <v>1</v>
      </c>
      <c r="C281" s="223" t="n">
        <v>70</v>
      </c>
      <c r="D281" s="223">
        <f>C281</f>
        <v/>
      </c>
      <c r="E281" s="223" t="n"/>
      <c r="F281" s="223">
        <f>D281+E281</f>
        <v/>
      </c>
      <c r="G281" s="111" t="n"/>
      <c r="H281" s="224" t="n">
        <v>45588</v>
      </c>
      <c r="I281" s="111" t="n"/>
      <c r="J281" s="136" t="n"/>
      <c r="K281" s="84" t="inlineStr">
        <is>
          <t>Retirou</t>
        </is>
      </c>
    </row>
    <row r="282">
      <c r="A282" s="236" t="inlineStr">
        <is>
          <t>Agente 21</t>
        </is>
      </c>
      <c r="B282" s="165" t="n">
        <v>1</v>
      </c>
      <c r="C282" s="248" t="n">
        <v>70</v>
      </c>
      <c r="D282" s="248">
        <f>C282</f>
        <v/>
      </c>
      <c r="E282" s="248" t="n"/>
      <c r="F282" s="248">
        <f>D282+E282</f>
        <v/>
      </c>
      <c r="G282" s="236" t="n"/>
      <c r="H282" s="186" t="n">
        <v>45588</v>
      </c>
      <c r="I282" s="236" t="n"/>
      <c r="J282" s="118" t="n"/>
      <c r="K282" s="84" t="inlineStr">
        <is>
          <t>Retirou</t>
        </is>
      </c>
      <c r="L282" s="236" t="n"/>
      <c r="M282" s="236" t="n"/>
      <c r="N282" s="236" t="n"/>
      <c r="O282" s="236" t="n"/>
      <c r="P282" s="236" t="n"/>
      <c r="Q282" s="236" t="n"/>
      <c r="R282" s="236" t="n"/>
      <c r="S282" s="236" t="n"/>
      <c r="T282" s="236" t="n"/>
      <c r="U282" s="236" t="n"/>
      <c r="V282" s="236" t="n"/>
      <c r="W282" s="236" t="n"/>
      <c r="X282" s="236" t="n"/>
      <c r="Y282" s="236" t="n"/>
      <c r="Z282" s="236" t="n"/>
    </row>
    <row r="283">
      <c r="A283" s="236" t="inlineStr">
        <is>
          <t>As Paixões do Parlêtre</t>
        </is>
      </c>
      <c r="B283" s="165" t="n">
        <v>38</v>
      </c>
      <c r="C283" s="248" t="n">
        <v>90</v>
      </c>
      <c r="D283" s="248">
        <f>C283</f>
        <v/>
      </c>
      <c r="E283" s="248" t="n"/>
      <c r="F283" s="248">
        <f>D283+E283</f>
        <v/>
      </c>
      <c r="G283" s="236" t="n"/>
      <c r="H283" s="186" t="n">
        <v>45588</v>
      </c>
      <c r="I283" s="236" t="n"/>
      <c r="J283" s="118" t="n"/>
      <c r="K283" s="84" t="inlineStr">
        <is>
          <t>Retirou</t>
        </is>
      </c>
      <c r="L283" s="236" t="n"/>
      <c r="M283" s="236" t="n"/>
      <c r="N283" s="236" t="n"/>
      <c r="O283" s="236" t="n"/>
      <c r="P283" s="236" t="n"/>
      <c r="Q283" s="236" t="n"/>
      <c r="R283" s="236" t="n"/>
      <c r="S283" s="236" t="n"/>
      <c r="T283" s="236" t="n"/>
      <c r="U283" s="236" t="n"/>
      <c r="V283" s="236" t="n"/>
      <c r="W283" s="236" t="n"/>
      <c r="X283" s="236" t="n"/>
      <c r="Y283" s="236" t="n"/>
      <c r="Z283" s="236" t="n"/>
    </row>
    <row r="284">
      <c r="A284" s="236" t="inlineStr">
        <is>
          <t>Agente 21</t>
        </is>
      </c>
      <c r="B284" s="165" t="n">
        <v>1</v>
      </c>
      <c r="C284" s="248" t="n">
        <v>70</v>
      </c>
      <c r="D284" s="248">
        <f>C284</f>
        <v/>
      </c>
      <c r="E284" s="248" t="n"/>
      <c r="F284" s="248">
        <f>D284+E284</f>
        <v/>
      </c>
      <c r="G284" s="236" t="n"/>
      <c r="H284" s="186" t="n">
        <v>45588</v>
      </c>
      <c r="I284" s="236" t="n"/>
      <c r="J284" s="118" t="n"/>
      <c r="K284" s="84" t="inlineStr">
        <is>
          <t>Retirou</t>
        </is>
      </c>
      <c r="L284" s="236" t="n"/>
      <c r="M284" s="236" t="n"/>
      <c r="N284" s="236" t="n"/>
      <c r="O284" s="236" t="n"/>
      <c r="P284" s="236" t="n"/>
      <c r="Q284" s="236" t="n"/>
      <c r="R284" s="236" t="n"/>
      <c r="S284" s="236" t="n"/>
      <c r="T284" s="236" t="n"/>
      <c r="U284" s="236" t="n"/>
      <c r="V284" s="236" t="n"/>
      <c r="W284" s="236" t="n"/>
      <c r="X284" s="236" t="n"/>
      <c r="Y284" s="236" t="n"/>
      <c r="Z284" s="236" t="n"/>
    </row>
    <row r="285">
      <c r="A285" s="236" t="inlineStr">
        <is>
          <t>Agente 21</t>
        </is>
      </c>
      <c r="B285" s="165" t="n">
        <v>1</v>
      </c>
      <c r="C285" s="248" t="n">
        <v>70</v>
      </c>
      <c r="D285" s="248">
        <f>C285</f>
        <v/>
      </c>
      <c r="E285" s="248" t="n"/>
      <c r="F285" s="248">
        <f>D285+E285</f>
        <v/>
      </c>
      <c r="G285" s="236" t="n"/>
      <c r="H285" s="186" t="n">
        <v>45588</v>
      </c>
      <c r="I285" s="236" t="n"/>
      <c r="J285" s="118" t="n"/>
      <c r="K285" s="84" t="inlineStr">
        <is>
          <t>Retirou</t>
        </is>
      </c>
      <c r="L285" s="236" t="n"/>
      <c r="M285" s="236" t="n"/>
      <c r="N285" s="236" t="n"/>
      <c r="O285" s="236" t="n"/>
      <c r="P285" s="236" t="n"/>
      <c r="Q285" s="236" t="n"/>
      <c r="R285" s="236" t="n"/>
      <c r="S285" s="236" t="n"/>
      <c r="T285" s="236" t="n"/>
      <c r="U285" s="236" t="n"/>
      <c r="V285" s="236" t="n"/>
      <c r="W285" s="236" t="n"/>
      <c r="X285" s="236" t="n"/>
      <c r="Y285" s="236" t="n"/>
      <c r="Z285" s="236" t="n"/>
    </row>
    <row r="286">
      <c r="A286" s="236" t="inlineStr">
        <is>
          <t>El psiccoanalisis y la Universidade</t>
        </is>
      </c>
      <c r="B286" s="165" t="n">
        <v>2</v>
      </c>
      <c r="C286" s="248" t="n">
        <v>130</v>
      </c>
      <c r="D286" s="248">
        <f>C286</f>
        <v/>
      </c>
      <c r="E286" s="248" t="n"/>
      <c r="F286" s="248">
        <f>D286+E286</f>
        <v/>
      </c>
      <c r="G286" s="236" t="n"/>
      <c r="H286" s="186" t="n">
        <v>45590</v>
      </c>
      <c r="I286" s="236" t="n"/>
      <c r="J286" s="118" t="n"/>
      <c r="K286" s="84" t="inlineStr">
        <is>
          <t>Retirou</t>
        </is>
      </c>
      <c r="L286" s="236" t="n"/>
      <c r="M286" s="236" t="n"/>
      <c r="N286" s="236" t="n"/>
      <c r="O286" s="236" t="n"/>
      <c r="P286" s="236" t="n"/>
      <c r="Q286" s="236" t="n"/>
      <c r="R286" s="236" t="n"/>
      <c r="S286" s="236" t="n"/>
      <c r="T286" s="236" t="n"/>
      <c r="U286" s="236" t="n"/>
      <c r="V286" s="236" t="n"/>
      <c r="W286" s="236" t="n"/>
      <c r="X286" s="236" t="n"/>
      <c r="Y286" s="236" t="n"/>
      <c r="Z286" s="236" t="n"/>
    </row>
    <row r="287">
      <c r="A287" s="236" t="inlineStr">
        <is>
          <t>El reverso de la Biopolítica</t>
        </is>
      </c>
      <c r="B287" s="165" t="n">
        <v>3</v>
      </c>
      <c r="C287" s="248" t="n">
        <v>270</v>
      </c>
      <c r="D287" s="248">
        <f>C287</f>
        <v/>
      </c>
      <c r="E287" s="248" t="n"/>
      <c r="F287" s="248">
        <f>D287+E287</f>
        <v/>
      </c>
      <c r="G287" s="236" t="n"/>
      <c r="H287" s="186" t="n">
        <v>45590</v>
      </c>
      <c r="I287" s="236" t="n"/>
      <c r="J287" s="118" t="n"/>
      <c r="K287" s="84" t="inlineStr">
        <is>
          <t>Retirou</t>
        </is>
      </c>
      <c r="L287" s="236" t="n"/>
      <c r="M287" s="236" t="n"/>
      <c r="N287" s="236" t="n"/>
      <c r="O287" s="236" t="n"/>
      <c r="P287" s="236" t="n"/>
      <c r="Q287" s="236" t="n"/>
      <c r="R287" s="236" t="n"/>
      <c r="S287" s="236" t="n"/>
      <c r="T287" s="236" t="n"/>
      <c r="U287" s="236" t="n"/>
      <c r="V287" s="236" t="n"/>
      <c r="W287" s="236" t="n"/>
      <c r="X287" s="236" t="n"/>
      <c r="Y287" s="236" t="n"/>
      <c r="Z287" s="236" t="n"/>
    </row>
    <row r="288">
      <c r="A288" s="236" t="inlineStr">
        <is>
          <t>El sinsentido del Sintoma</t>
        </is>
      </c>
      <c r="B288" s="165" t="n">
        <v>2</v>
      </c>
      <c r="C288" s="248" t="n">
        <v>190</v>
      </c>
      <c r="D288" s="248">
        <f>C288</f>
        <v/>
      </c>
      <c r="E288" s="248" t="n"/>
      <c r="F288" s="248">
        <f>D288+E288</f>
        <v/>
      </c>
      <c r="G288" s="236" t="n"/>
      <c r="H288" s="186" t="n">
        <v>45590</v>
      </c>
      <c r="I288" s="236" t="n"/>
      <c r="J288" s="118" t="n"/>
      <c r="K288" s="84" t="inlineStr">
        <is>
          <t>Retirou</t>
        </is>
      </c>
      <c r="L288" s="236" t="n"/>
      <c r="M288" s="236" t="n"/>
      <c r="N288" s="236" t="n"/>
      <c r="O288" s="236" t="n"/>
      <c r="P288" s="236" t="n"/>
      <c r="Q288" s="236" t="n"/>
      <c r="R288" s="236" t="n"/>
      <c r="S288" s="236" t="n"/>
      <c r="T288" s="236" t="n"/>
      <c r="U288" s="236" t="n"/>
      <c r="V288" s="236" t="n"/>
      <c r="W288" s="236" t="n"/>
      <c r="X288" s="236" t="n"/>
      <c r="Y288" s="236" t="n"/>
      <c r="Z288" s="236" t="n"/>
    </row>
    <row r="289">
      <c r="A289" s="236" t="inlineStr">
        <is>
          <t>Escutas do indizível</t>
        </is>
      </c>
      <c r="B289" s="165" t="n">
        <v>10</v>
      </c>
      <c r="C289" s="248" t="n">
        <v>600</v>
      </c>
      <c r="D289" s="248">
        <f>C289</f>
        <v/>
      </c>
      <c r="E289" s="248" t="n"/>
      <c r="F289" s="248">
        <f>D289+E289</f>
        <v/>
      </c>
      <c r="G289" s="236" t="n"/>
      <c r="H289" s="186" t="n">
        <v>45590</v>
      </c>
      <c r="I289" s="236" t="n"/>
      <c r="J289" s="118" t="n"/>
      <c r="K289" s="84" t="inlineStr">
        <is>
          <t>Retirou</t>
        </is>
      </c>
      <c r="L289" s="236" t="n"/>
      <c r="M289" s="236" t="n"/>
      <c r="N289" s="236" t="n"/>
      <c r="O289" s="236" t="n"/>
      <c r="P289" s="236" t="n"/>
      <c r="Q289" s="236" t="n"/>
      <c r="R289" s="236" t="n"/>
      <c r="S289" s="236" t="n"/>
      <c r="T289" s="236" t="n"/>
      <c r="U289" s="236" t="n"/>
      <c r="V289" s="236" t="n"/>
      <c r="W289" s="236" t="n"/>
      <c r="X289" s="236" t="n"/>
      <c r="Y289" s="236" t="n"/>
      <c r="Z289" s="236" t="n"/>
    </row>
    <row r="290">
      <c r="A290" s="236" t="inlineStr">
        <is>
          <t>Felicidade e Sintoma</t>
        </is>
      </c>
      <c r="B290" s="165" t="n">
        <v>15</v>
      </c>
      <c r="C290" s="248" t="n">
        <v>40</v>
      </c>
      <c r="D290" s="248">
        <f>C290</f>
        <v/>
      </c>
      <c r="E290" s="248" t="n"/>
      <c r="F290" s="248" t="n">
        <v>400</v>
      </c>
      <c r="G290" s="236" t="n"/>
      <c r="H290" s="186" t="n">
        <v>45590</v>
      </c>
      <c r="I290" s="236" t="n"/>
      <c r="J290" s="118" t="n"/>
      <c r="K290" s="84" t="inlineStr">
        <is>
          <t>Retirou</t>
        </is>
      </c>
    </row>
    <row r="291">
      <c r="A291" s="236" t="inlineStr">
        <is>
          <t>Foraclusão e Suas Dores</t>
        </is>
      </c>
      <c r="B291" s="165" t="n">
        <v>6</v>
      </c>
      <c r="C291" s="248" t="n">
        <v>462</v>
      </c>
      <c r="D291" s="248">
        <f>C291</f>
        <v/>
      </c>
      <c r="E291" s="248" t="n"/>
      <c r="F291" s="248">
        <f>D291</f>
        <v/>
      </c>
      <c r="G291" s="236" t="n"/>
      <c r="H291" s="186" t="n">
        <v>45590</v>
      </c>
      <c r="I291" s="236" t="n"/>
      <c r="J291" s="118" t="n"/>
      <c r="K291" s="84" t="inlineStr">
        <is>
          <t>Retirou</t>
        </is>
      </c>
    </row>
    <row r="292">
      <c r="A292" s="236" t="inlineStr">
        <is>
          <t>Fundamentos da Prática Lacaniana</t>
        </is>
      </c>
      <c r="B292" s="165" t="n">
        <v>3</v>
      </c>
      <c r="C292" s="248" t="n">
        <v>180</v>
      </c>
      <c r="D292" s="248">
        <f>C292</f>
        <v/>
      </c>
      <c r="E292" s="248" t="n"/>
      <c r="F292" s="248">
        <f>D292</f>
        <v/>
      </c>
      <c r="G292" s="236" t="n"/>
      <c r="H292" s="186" t="n">
        <v>45590</v>
      </c>
      <c r="I292" s="236" t="n"/>
      <c r="J292" s="118" t="n"/>
      <c r="K292" s="84" t="inlineStr">
        <is>
          <t>Retirou</t>
        </is>
      </c>
    </row>
    <row r="293">
      <c r="A293" s="236" t="inlineStr">
        <is>
          <t>Gostar de Mulheres</t>
        </is>
      </c>
      <c r="B293" s="165" t="n">
        <v>1</v>
      </c>
      <c r="C293" s="248" t="n">
        <v>25</v>
      </c>
      <c r="D293" s="248">
        <f>C293</f>
        <v/>
      </c>
      <c r="E293" s="248" t="n"/>
      <c r="F293" s="248">
        <f>D293</f>
        <v/>
      </c>
      <c r="G293" s="236" t="n"/>
      <c r="H293" s="186" t="n">
        <v>45590</v>
      </c>
      <c r="I293" s="236" t="n"/>
      <c r="J293" s="118" t="n"/>
      <c r="K293" s="84" t="inlineStr">
        <is>
          <t>Retirou</t>
        </is>
      </c>
    </row>
    <row r="294">
      <c r="A294" s="236" t="inlineStr">
        <is>
          <t>Inocentes 3.0</t>
        </is>
      </c>
      <c r="B294" s="165" t="n">
        <v>1</v>
      </c>
      <c r="C294" s="248" t="n">
        <v>150</v>
      </c>
      <c r="D294" s="248">
        <f>C294</f>
        <v/>
      </c>
      <c r="E294" s="248" t="n"/>
      <c r="F294" s="248">
        <f>D294</f>
        <v/>
      </c>
      <c r="G294" s="236" t="n"/>
      <c r="H294" s="186" t="n">
        <v>45590</v>
      </c>
      <c r="I294" s="236" t="n"/>
      <c r="J294" s="118" t="n"/>
      <c r="K294" s="84" t="inlineStr">
        <is>
          <t>Retirou</t>
        </is>
      </c>
    </row>
    <row r="295">
      <c r="A295" s="236" t="inlineStr">
        <is>
          <t>Introducccioón a Toxicacomanías y Alcolismo</t>
        </is>
      </c>
      <c r="B295" s="165" t="n">
        <v>1</v>
      </c>
      <c r="C295" s="248" t="n">
        <v>70</v>
      </c>
      <c r="D295" s="248">
        <f>C295</f>
        <v/>
      </c>
      <c r="E295" s="248" t="n"/>
      <c r="F295" s="248">
        <f>D295</f>
        <v/>
      </c>
      <c r="G295" s="236" t="n"/>
      <c r="H295" s="186" t="n">
        <v>45590</v>
      </c>
      <c r="I295" s="236" t="n"/>
      <c r="J295" s="118" t="n"/>
      <c r="K295" s="84" t="inlineStr">
        <is>
          <t>Retirou</t>
        </is>
      </c>
    </row>
    <row r="296">
      <c r="A296" s="236" t="inlineStr">
        <is>
          <t>IPB - Seminários  - Nieves Saria</t>
        </is>
      </c>
      <c r="B296" s="165" t="n">
        <v>11</v>
      </c>
      <c r="C296" s="248" t="n">
        <v>220</v>
      </c>
      <c r="D296" s="248">
        <f>C296</f>
        <v/>
      </c>
      <c r="E296" s="248" t="n"/>
      <c r="F296" s="248">
        <f>D296</f>
        <v/>
      </c>
      <c r="G296" s="236" t="n"/>
      <c r="H296" s="186" t="n">
        <v>45590</v>
      </c>
      <c r="I296" s="236" t="n"/>
      <c r="J296" s="118" t="n"/>
      <c r="K296" s="84" t="inlineStr">
        <is>
          <t>Retirou</t>
        </is>
      </c>
    </row>
    <row r="297">
      <c r="A297" s="236" t="inlineStr">
        <is>
          <t>IPB - Seminários  - Nieves Saria</t>
        </is>
      </c>
      <c r="B297" s="165" t="n">
        <v>8</v>
      </c>
      <c r="C297" s="248" t="n">
        <v>120</v>
      </c>
      <c r="D297" s="248">
        <f>C297</f>
        <v/>
      </c>
      <c r="E297" s="248" t="n"/>
      <c r="F297" s="248">
        <f>D297</f>
        <v/>
      </c>
      <c r="G297" s="236" t="n"/>
      <c r="H297" s="186" t="n">
        <v>45590</v>
      </c>
      <c r="I297" s="236" t="n"/>
      <c r="J297" s="118" t="n"/>
      <c r="K297" s="84" t="inlineStr">
        <is>
          <t>Retirou</t>
        </is>
      </c>
    </row>
    <row r="298">
      <c r="A298" s="236" t="inlineStr">
        <is>
          <t>La angústia lacaniana</t>
        </is>
      </c>
      <c r="B298" s="165" t="n">
        <v>3</v>
      </c>
      <c r="C298" s="248" t="n">
        <v>450</v>
      </c>
      <c r="D298" s="248">
        <f>C298</f>
        <v/>
      </c>
      <c r="E298" s="236" t="n"/>
      <c r="F298" s="248">
        <f>D298</f>
        <v/>
      </c>
      <c r="G298" s="236" t="n"/>
      <c r="H298" s="186" t="n">
        <v>45590</v>
      </c>
      <c r="I298" s="236" t="n"/>
      <c r="J298" s="118" t="n"/>
      <c r="K298" s="84" t="inlineStr">
        <is>
          <t>Retirou</t>
        </is>
      </c>
    </row>
    <row r="299">
      <c r="A299" s="236" t="inlineStr">
        <is>
          <t>La ciudad analitica nº 1</t>
        </is>
      </c>
      <c r="B299" s="165" t="n">
        <v>1</v>
      </c>
      <c r="C299" s="248" t="n">
        <v>80</v>
      </c>
      <c r="D299" s="248">
        <f>C299</f>
        <v/>
      </c>
      <c r="E299" s="236" t="n"/>
      <c r="F299" s="248">
        <f>D299</f>
        <v/>
      </c>
      <c r="G299" s="236" t="n"/>
      <c r="H299" s="186" t="n">
        <v>45590</v>
      </c>
      <c r="I299" s="236" t="n"/>
      <c r="J299" s="118" t="n"/>
      <c r="K299" s="84" t="inlineStr">
        <is>
          <t>Retirou</t>
        </is>
      </c>
    </row>
    <row r="300">
      <c r="A300" s="236" t="inlineStr">
        <is>
          <t>Lacan e a solução inteligente</t>
        </is>
      </c>
      <c r="B300" s="165" t="n">
        <v>2</v>
      </c>
      <c r="C300" s="248" t="n">
        <v>136</v>
      </c>
      <c r="D300" s="248">
        <f>C300</f>
        <v/>
      </c>
      <c r="E300" s="236" t="n"/>
      <c r="F300" s="248">
        <f>D300</f>
        <v/>
      </c>
      <c r="G300" s="236" t="n"/>
      <c r="H300" s="186" t="n">
        <v>45590</v>
      </c>
      <c r="I300" s="236" t="n"/>
      <c r="J300" s="118" t="n"/>
      <c r="K300" s="84" t="inlineStr">
        <is>
          <t>Retirou</t>
        </is>
      </c>
    </row>
    <row r="301">
      <c r="A301" s="236" t="inlineStr">
        <is>
          <t>Las Entrevistas Preliminares Y la entrada em análise</t>
        </is>
      </c>
      <c r="B301" s="165" t="n">
        <v>7</v>
      </c>
      <c r="C301" s="248" t="n">
        <v>875</v>
      </c>
      <c r="D301" s="248">
        <f>C301</f>
        <v/>
      </c>
      <c r="E301" s="236" t="n"/>
      <c r="F301" s="248">
        <f>D301</f>
        <v/>
      </c>
      <c r="G301" s="236" t="n"/>
      <c r="H301" s="186" t="n">
        <v>45590</v>
      </c>
      <c r="I301" s="236" t="n"/>
      <c r="J301" s="118" t="n"/>
      <c r="K301" s="84" t="inlineStr">
        <is>
          <t>Retirou</t>
        </is>
      </c>
    </row>
    <row r="302">
      <c r="A302" s="236" t="inlineStr">
        <is>
          <t>Letra Clínica entrada em la análises</t>
        </is>
      </c>
      <c r="B302" s="165" t="n">
        <v>4</v>
      </c>
      <c r="C302" s="248" t="n">
        <v>95</v>
      </c>
      <c r="D302" s="248">
        <f>C302</f>
        <v/>
      </c>
      <c r="E302" s="236" t="n"/>
      <c r="F302" s="248">
        <f>D302</f>
        <v/>
      </c>
      <c r="G302" s="236" t="n"/>
      <c r="H302" s="186" t="n">
        <v>45590</v>
      </c>
      <c r="I302" s="236" t="n"/>
      <c r="J302" s="118" t="n"/>
      <c r="K302" s="84" t="inlineStr">
        <is>
          <t>Retirou</t>
        </is>
      </c>
    </row>
    <row r="303">
      <c r="A303" s="236" t="inlineStr">
        <is>
          <t>Memória, linguagem</t>
        </is>
      </c>
      <c r="B303" s="165" t="n">
        <v>1</v>
      </c>
      <c r="C303" s="248" t="n">
        <v>75</v>
      </c>
      <c r="D303" s="248">
        <f>C303</f>
        <v/>
      </c>
      <c r="E303" s="236" t="n"/>
      <c r="F303" s="248">
        <f>D303</f>
        <v/>
      </c>
      <c r="G303" s="236" t="n"/>
      <c r="H303" s="186" t="n">
        <v>45590</v>
      </c>
      <c r="I303" s="236" t="n"/>
      <c r="J303" s="118" t="n"/>
      <c r="K303" s="84" t="inlineStr">
        <is>
          <t>Retirou</t>
        </is>
      </c>
    </row>
    <row r="304">
      <c r="A304" s="236" t="inlineStr">
        <is>
          <t>Menos que um</t>
        </is>
      </c>
      <c r="B304" s="165" t="n">
        <v>2</v>
      </c>
      <c r="C304" s="248" t="n">
        <v>110</v>
      </c>
      <c r="D304" s="248">
        <f>C304</f>
        <v/>
      </c>
      <c r="E304" s="236" t="n"/>
      <c r="F304" s="248">
        <f>D304</f>
        <v/>
      </c>
      <c r="G304" s="236" t="n"/>
      <c r="H304" s="186" t="n">
        <v>45590</v>
      </c>
      <c r="I304" s="236" t="n"/>
      <c r="J304" s="118" t="n"/>
      <c r="K304" s="84" t="inlineStr">
        <is>
          <t>Retirou</t>
        </is>
      </c>
    </row>
    <row r="305">
      <c r="A305" s="236" t="inlineStr">
        <is>
          <t>Modo de Gozar em Feminino</t>
        </is>
      </c>
      <c r="B305" s="165" t="n">
        <v>3</v>
      </c>
      <c r="C305" s="248" t="n">
        <v>390</v>
      </c>
      <c r="D305" s="248">
        <f>C305</f>
        <v/>
      </c>
      <c r="E305" s="236" t="n"/>
      <c r="F305" s="248">
        <f>D305</f>
        <v/>
      </c>
      <c r="G305" s="236" t="n"/>
      <c r="H305" s="186" t="n">
        <v>45590</v>
      </c>
      <c r="I305" s="236" t="n"/>
      <c r="J305" s="118" t="n"/>
      <c r="K305" s="84" t="inlineStr">
        <is>
          <t>Retirou</t>
        </is>
      </c>
    </row>
    <row r="306">
      <c r="A306" s="236" t="inlineStr">
        <is>
          <t>Monologo compartilhado</t>
        </is>
      </c>
      <c r="B306" s="165" t="n">
        <v>4</v>
      </c>
      <c r="C306" s="248" t="n">
        <v>360</v>
      </c>
      <c r="D306" s="248">
        <f>C306</f>
        <v/>
      </c>
      <c r="E306" s="236" t="n"/>
      <c r="F306" s="248">
        <f>D306</f>
        <v/>
      </c>
      <c r="G306" s="236" t="n"/>
      <c r="H306" s="186" t="n">
        <v>45590</v>
      </c>
      <c r="I306" s="236" t="n"/>
      <c r="J306" s="118" t="n"/>
      <c r="K306" s="84" t="inlineStr">
        <is>
          <t>Retirou</t>
        </is>
      </c>
    </row>
    <row r="307">
      <c r="A307" s="236" t="inlineStr">
        <is>
          <t>MUTACIONAES - Hacia Uma Clínica</t>
        </is>
      </c>
      <c r="B307" s="165" t="n">
        <v>3</v>
      </c>
      <c r="C307" s="248" t="n">
        <v>465</v>
      </c>
      <c r="D307" s="248">
        <f>C307</f>
        <v/>
      </c>
      <c r="E307" s="236" t="n"/>
      <c r="F307" s="248">
        <f>D307</f>
        <v/>
      </c>
      <c r="G307" s="236" t="n"/>
      <c r="H307" s="186" t="n">
        <v>45590</v>
      </c>
      <c r="I307" s="236" t="n"/>
      <c r="J307" s="118" t="n"/>
      <c r="K307" s="84" t="inlineStr">
        <is>
          <t>Retirou</t>
        </is>
      </c>
    </row>
    <row r="308">
      <c r="A308" s="236" t="inlineStr">
        <is>
          <t>O Autismo</t>
        </is>
      </c>
      <c r="B308" s="165" t="n">
        <v>1</v>
      </c>
      <c r="C308" s="248" t="n">
        <v>35</v>
      </c>
      <c r="D308" s="248">
        <f>C308</f>
        <v/>
      </c>
      <c r="E308" s="236" t="n"/>
      <c r="F308" s="248">
        <f>D308</f>
        <v/>
      </c>
      <c r="G308" s="236" t="n"/>
      <c r="H308" s="186" t="n">
        <v>45590</v>
      </c>
      <c r="I308" s="236" t="n"/>
      <c r="J308" s="118" t="n"/>
      <c r="K308" s="84" t="inlineStr">
        <is>
          <t>Retirou</t>
        </is>
      </c>
    </row>
    <row r="309">
      <c r="A309" s="236" t="inlineStr">
        <is>
          <t>O Campo Uniano</t>
        </is>
      </c>
      <c r="B309" s="165" t="n">
        <v>9</v>
      </c>
      <c r="C309" s="248" t="n">
        <v>1080</v>
      </c>
      <c r="D309" s="248">
        <f>C309</f>
        <v/>
      </c>
      <c r="E309" s="236" t="n"/>
      <c r="F309" s="248">
        <f>D309</f>
        <v/>
      </c>
      <c r="G309" s="236" t="n"/>
      <c r="H309" s="186" t="n">
        <v>45590</v>
      </c>
      <c r="I309" s="236" t="n"/>
      <c r="J309" s="118" t="n"/>
      <c r="K309" s="84" t="inlineStr">
        <is>
          <t>Retirou</t>
        </is>
      </c>
    </row>
    <row r="310">
      <c r="A310" s="236" t="inlineStr">
        <is>
          <t>O feminino Infamiliar</t>
        </is>
      </c>
      <c r="B310" s="165" t="n">
        <v>5</v>
      </c>
      <c r="C310" s="248" t="n">
        <v>275</v>
      </c>
      <c r="D310" s="248">
        <f>C310</f>
        <v/>
      </c>
      <c r="E310" s="236" t="n"/>
      <c r="F310" s="248">
        <f>D310</f>
        <v/>
      </c>
      <c r="G310" s="236" t="n"/>
      <c r="H310" s="186" t="n">
        <v>45590</v>
      </c>
      <c r="I310" s="236" t="n"/>
      <c r="J310" s="118" t="n"/>
      <c r="K310" s="84" t="inlineStr">
        <is>
          <t>Retirou</t>
        </is>
      </c>
    </row>
    <row r="311">
      <c r="A311" s="236" t="inlineStr">
        <is>
          <t>O Feminino no extravio do falo</t>
        </is>
      </c>
      <c r="B311" s="165" t="n">
        <v>3</v>
      </c>
      <c r="C311" s="248" t="n">
        <v>210</v>
      </c>
      <c r="D311" s="248">
        <f>C311</f>
        <v/>
      </c>
      <c r="E311" s="236" t="n"/>
      <c r="F311" s="248">
        <f>D311</f>
        <v/>
      </c>
      <c r="G311" s="236" t="n"/>
      <c r="H311" s="186" t="n">
        <v>45590</v>
      </c>
      <c r="I311" s="236" t="n"/>
      <c r="J311" s="118" t="n"/>
      <c r="K311" s="84" t="inlineStr">
        <is>
          <t>Retirou</t>
        </is>
      </c>
    </row>
    <row r="312">
      <c r="A312" s="236" t="inlineStr">
        <is>
          <t>O infantil</t>
        </is>
      </c>
      <c r="B312" s="165" t="n">
        <v>8</v>
      </c>
      <c r="C312" s="248" t="n">
        <v>80</v>
      </c>
      <c r="D312" s="248">
        <f>C312</f>
        <v/>
      </c>
      <c r="E312" s="248" t="n"/>
      <c r="F312" s="248">
        <f>D312</f>
        <v/>
      </c>
      <c r="G312" s="236" t="n"/>
      <c r="H312" s="186" t="n">
        <v>45590</v>
      </c>
      <c r="I312" s="236" t="n"/>
      <c r="J312" s="118" t="n"/>
      <c r="K312" s="84" t="inlineStr">
        <is>
          <t>Retirou</t>
        </is>
      </c>
    </row>
    <row r="313">
      <c r="A313" s="236" t="inlineStr">
        <is>
          <t>O que é o autismo hoje?</t>
        </is>
      </c>
      <c r="B313" s="165" t="n">
        <v>1</v>
      </c>
      <c r="C313" s="248" t="n">
        <v>30</v>
      </c>
      <c r="D313" s="248">
        <f>C313</f>
        <v/>
      </c>
      <c r="E313" s="248" t="n"/>
      <c r="F313" s="248">
        <f>D313</f>
        <v/>
      </c>
      <c r="G313" s="236" t="n"/>
      <c r="H313" s="186" t="n">
        <v>45590</v>
      </c>
      <c r="I313" s="236" t="n"/>
      <c r="J313" s="118" t="n"/>
      <c r="K313" s="84" t="inlineStr">
        <is>
          <t>Retirou</t>
        </is>
      </c>
    </row>
    <row r="314">
      <c r="A314" s="236" t="inlineStr">
        <is>
          <t>O que esse menino tem</t>
        </is>
      </c>
      <c r="B314" s="165" t="n">
        <v>1</v>
      </c>
      <c r="C314" s="248" t="n">
        <v>55</v>
      </c>
      <c r="D314" s="248">
        <f>C314</f>
        <v/>
      </c>
      <c r="E314" s="248" t="n"/>
      <c r="F314" s="248">
        <f>D314</f>
        <v/>
      </c>
      <c r="G314" s="236" t="n"/>
      <c r="H314" s="186" t="n">
        <v>45590</v>
      </c>
      <c r="I314" s="236" t="n"/>
      <c r="J314" s="118" t="n"/>
      <c r="K314" s="84" t="inlineStr">
        <is>
          <t>Retirou</t>
        </is>
      </c>
    </row>
    <row r="315">
      <c r="A315" s="236" t="inlineStr">
        <is>
          <t>Ombliguos</t>
        </is>
      </c>
      <c r="B315" s="165" t="n">
        <v>1</v>
      </c>
      <c r="C315" s="248" t="n">
        <v>80</v>
      </c>
      <c r="D315" s="248">
        <f>C315</f>
        <v/>
      </c>
      <c r="E315" s="248" t="n"/>
      <c r="F315" s="248">
        <f>D315</f>
        <v/>
      </c>
      <c r="G315" s="236" t="n"/>
      <c r="H315" s="186" t="n">
        <v>45590</v>
      </c>
      <c r="I315" s="236" t="n"/>
      <c r="J315" s="118" t="n"/>
      <c r="K315" s="84" t="inlineStr">
        <is>
          <t>Retirou</t>
        </is>
      </c>
    </row>
    <row r="316">
      <c r="A316" s="236" t="inlineStr">
        <is>
          <t>Paixões do Parlêtre</t>
        </is>
      </c>
      <c r="B316" s="165" t="n">
        <v>56</v>
      </c>
      <c r="C316" s="248" t="n">
        <v>9040</v>
      </c>
      <c r="D316" s="248">
        <f>C316</f>
        <v/>
      </c>
      <c r="E316" s="248" t="n"/>
      <c r="F316" s="248">
        <f>D316</f>
        <v/>
      </c>
      <c r="G316" s="236" t="n"/>
      <c r="H316" s="186" t="n">
        <v>45590</v>
      </c>
      <c r="I316" s="236" t="n"/>
      <c r="J316" s="118" t="n"/>
      <c r="K316" s="84" t="inlineStr">
        <is>
          <t>Retirou</t>
        </is>
      </c>
    </row>
    <row r="317">
      <c r="A317" s="236" t="inlineStr">
        <is>
          <t>Reinventar La Escuela</t>
        </is>
      </c>
      <c r="B317" s="165" t="n">
        <v>5</v>
      </c>
      <c r="C317" s="248" t="n">
        <v>600</v>
      </c>
      <c r="D317" s="248">
        <f>C317</f>
        <v/>
      </c>
      <c r="E317" s="248" t="n"/>
      <c r="F317" s="248">
        <f>D317</f>
        <v/>
      </c>
      <c r="G317" s="236" t="n"/>
      <c r="H317" s="186" t="n">
        <v>45590</v>
      </c>
      <c r="I317" s="236" t="n"/>
      <c r="J317" s="118" t="n"/>
      <c r="K317" s="84" t="inlineStr">
        <is>
          <t>Retirou</t>
        </is>
      </c>
    </row>
    <row r="318">
      <c r="A318" s="236" t="inlineStr">
        <is>
          <t>Ruido e silêncio</t>
        </is>
      </c>
      <c r="B318" s="165" t="n">
        <v>1</v>
      </c>
      <c r="C318" s="248" t="n">
        <v>50</v>
      </c>
      <c r="D318" s="248">
        <f>C318</f>
        <v/>
      </c>
      <c r="E318" s="248" t="n"/>
      <c r="F318" s="248">
        <f>D318</f>
        <v/>
      </c>
      <c r="G318" s="236" t="n"/>
      <c r="H318" s="186" t="n">
        <v>45590</v>
      </c>
      <c r="I318" s="236" t="n"/>
      <c r="J318" s="118" t="n"/>
      <c r="K318" s="84" t="inlineStr">
        <is>
          <t>Retirou</t>
        </is>
      </c>
    </row>
    <row r="319">
      <c r="A319" s="236" t="inlineStr">
        <is>
          <t>Saúde mental</t>
        </is>
      </c>
      <c r="B319" s="165" t="n">
        <v>2</v>
      </c>
      <c r="C319" s="248" t="n">
        <v>90</v>
      </c>
      <c r="D319" s="248">
        <f>C319</f>
        <v/>
      </c>
      <c r="E319" s="248" t="n"/>
      <c r="F319" s="248">
        <f>D319</f>
        <v/>
      </c>
      <c r="G319" s="236" t="n"/>
      <c r="H319" s="186" t="n">
        <v>45590</v>
      </c>
      <c r="I319" s="236" t="n"/>
      <c r="J319" s="118" t="n"/>
      <c r="K319" s="84" t="inlineStr">
        <is>
          <t>Retirou</t>
        </is>
      </c>
    </row>
    <row r="320">
      <c r="A320" s="236" t="inlineStr">
        <is>
          <t>Sonhos e fantasia</t>
        </is>
      </c>
      <c r="B320" s="165" t="n">
        <v>1</v>
      </c>
      <c r="C320" s="248" t="n">
        <v>80</v>
      </c>
      <c r="D320" s="248">
        <f>C320</f>
        <v/>
      </c>
      <c r="E320" s="248" t="n"/>
      <c r="F320" s="248">
        <f>D320</f>
        <v/>
      </c>
      <c r="G320" s="236" t="n"/>
      <c r="H320" s="186" t="n">
        <v>45590</v>
      </c>
      <c r="I320" s="236" t="n"/>
      <c r="J320" s="118" t="n"/>
      <c r="K320" s="84" t="inlineStr">
        <is>
          <t>Retirou</t>
        </is>
      </c>
    </row>
    <row r="321">
      <c r="A321" s="236" t="inlineStr">
        <is>
          <t>Topologia do Amor</t>
        </is>
      </c>
      <c r="B321" s="165" t="n">
        <v>4</v>
      </c>
      <c r="C321" s="248" t="n">
        <v>400</v>
      </c>
      <c r="D321" s="248">
        <f>C321</f>
        <v/>
      </c>
      <c r="E321" s="248" t="n"/>
      <c r="F321" s="248">
        <f>D321</f>
        <v/>
      </c>
      <c r="G321" s="236" t="n"/>
      <c r="H321" s="186" t="n">
        <v>45590</v>
      </c>
      <c r="I321" s="236" t="n"/>
      <c r="J321" s="118" t="n"/>
      <c r="K321" s="84" t="inlineStr">
        <is>
          <t>Retirou</t>
        </is>
      </c>
    </row>
    <row r="322">
      <c r="A322" s="236" t="inlineStr">
        <is>
          <t>Uma via Prética</t>
        </is>
      </c>
      <c r="B322" s="165" t="n">
        <v>1</v>
      </c>
      <c r="C322" s="248" t="n">
        <v>80</v>
      </c>
      <c r="D322" s="248">
        <f>C322</f>
        <v/>
      </c>
      <c r="E322" s="236" t="n"/>
      <c r="F322" s="248">
        <f>D322</f>
        <v/>
      </c>
      <c r="G322" s="236" t="n"/>
      <c r="H322" s="186" t="n">
        <v>45590</v>
      </c>
      <c r="I322" s="236" t="n"/>
      <c r="J322" s="118" t="n"/>
      <c r="K322" s="84" t="inlineStr">
        <is>
          <t>Retirou</t>
        </is>
      </c>
    </row>
    <row r="323">
      <c r="A323" s="236" t="inlineStr">
        <is>
          <t>Foraclusão e Suas Dores</t>
        </is>
      </c>
      <c r="B323" s="165" t="n">
        <v>1</v>
      </c>
      <c r="C323" s="248" t="n">
        <v>80</v>
      </c>
      <c r="D323" s="248">
        <f>C323</f>
        <v/>
      </c>
      <c r="E323" s="236" t="n"/>
      <c r="F323" s="248">
        <f>D323</f>
        <v/>
      </c>
      <c r="G323" s="236" t="n"/>
      <c r="H323" s="186" t="n">
        <v>45955</v>
      </c>
      <c r="I323" s="236" t="n"/>
      <c r="J323" s="118" t="n"/>
      <c r="K323" s="84" t="n"/>
    </row>
    <row r="324">
      <c r="A324" s="236" t="inlineStr">
        <is>
          <t>Agente 21</t>
        </is>
      </c>
      <c r="B324" s="165" t="n">
        <v>1</v>
      </c>
      <c r="C324" s="248" t="n">
        <v>70</v>
      </c>
      <c r="D324" s="248">
        <f>C324</f>
        <v/>
      </c>
      <c r="E324" s="236" t="n"/>
      <c r="F324" s="248">
        <f>D324</f>
        <v/>
      </c>
      <c r="G324" s="236" t="n"/>
      <c r="H324" s="186" t="n">
        <v>45595</v>
      </c>
      <c r="I324" s="236" t="n"/>
      <c r="J324" s="118" t="n"/>
      <c r="K324" s="84" t="inlineStr">
        <is>
          <t>Retirou</t>
        </is>
      </c>
    </row>
    <row r="325">
      <c r="A325" s="236" t="inlineStr">
        <is>
          <t>Agente 21</t>
        </is>
      </c>
      <c r="B325" s="165" t="n">
        <v>1</v>
      </c>
      <c r="C325" s="248" t="n">
        <v>70</v>
      </c>
      <c r="D325" s="248">
        <f>C325</f>
        <v/>
      </c>
      <c r="E325" s="236" t="n"/>
      <c r="F325" s="248">
        <f>D325</f>
        <v/>
      </c>
      <c r="G325" s="236" t="n"/>
      <c r="H325" s="186" t="n">
        <v>45596</v>
      </c>
      <c r="I325" s="236" t="n"/>
      <c r="J325" s="118" t="n"/>
      <c r="K325" s="84" t="inlineStr">
        <is>
          <t>Retirou</t>
        </is>
      </c>
    </row>
    <row r="326">
      <c r="A326" s="236" t="inlineStr">
        <is>
          <t>A Função do Pai</t>
        </is>
      </c>
      <c r="B326" s="165" t="n">
        <v>1</v>
      </c>
      <c r="C326" s="248" t="n">
        <v>60</v>
      </c>
      <c r="D326" s="248">
        <f>C326</f>
        <v/>
      </c>
      <c r="E326" s="236" t="n"/>
      <c r="F326" s="248">
        <f>D326</f>
        <v/>
      </c>
      <c r="G326" s="236" t="n"/>
      <c r="H326" s="186" t="n">
        <v>45596</v>
      </c>
      <c r="I326" s="236" t="n"/>
      <c r="J326" s="118" t="n"/>
      <c r="K326" s="84" t="inlineStr">
        <is>
          <t>Retirou</t>
        </is>
      </c>
    </row>
    <row r="327">
      <c r="A327" s="236" t="inlineStr">
        <is>
          <t>Agente 21</t>
        </is>
      </c>
      <c r="B327" s="165" t="n">
        <v>1</v>
      </c>
      <c r="C327" s="248" t="n">
        <v>70</v>
      </c>
      <c r="D327" s="248">
        <f>C327</f>
        <v/>
      </c>
      <c r="E327" s="236" t="n"/>
      <c r="F327" s="248">
        <f>D327</f>
        <v/>
      </c>
      <c r="G327" s="236" t="n"/>
      <c r="H327" s="186" t="n">
        <v>45596</v>
      </c>
      <c r="I327" s="236" t="n"/>
      <c r="J327" s="118" t="n"/>
      <c r="K327" s="84" t="inlineStr">
        <is>
          <t>Retirou</t>
        </is>
      </c>
    </row>
    <row r="328">
      <c r="A328" s="236" t="inlineStr">
        <is>
          <t>Agente 21</t>
        </is>
      </c>
      <c r="B328" s="165" t="n">
        <v>1</v>
      </c>
      <c r="C328" s="248" t="n">
        <v>70</v>
      </c>
      <c r="D328" s="248">
        <f>C328</f>
        <v/>
      </c>
      <c r="E328" s="236" t="n"/>
      <c r="F328" s="248">
        <f>D328</f>
        <v/>
      </c>
      <c r="G328" s="236" t="n"/>
      <c r="H328" s="186" t="n">
        <v>45596</v>
      </c>
      <c r="I328" s="236" t="n"/>
      <c r="J328" s="118" t="n"/>
      <c r="K328" s="84" t="inlineStr">
        <is>
          <t>Retirou</t>
        </is>
      </c>
    </row>
    <row r="329">
      <c r="A329" s="236" t="inlineStr">
        <is>
          <t>As Paixões do Parlêtre</t>
        </is>
      </c>
      <c r="B329" s="165" t="n">
        <v>1</v>
      </c>
      <c r="C329" s="248" t="n">
        <v>90</v>
      </c>
      <c r="D329" s="248">
        <f>C329</f>
        <v/>
      </c>
      <c r="E329" s="248" t="n"/>
      <c r="F329" s="248">
        <f>D329</f>
        <v/>
      </c>
      <c r="G329" s="236" t="n"/>
      <c r="H329" s="186" t="n">
        <v>45596</v>
      </c>
      <c r="I329" s="236" t="n"/>
      <c r="J329" s="118" t="n"/>
      <c r="K329" s="84" t="inlineStr">
        <is>
          <t>Retirou</t>
        </is>
      </c>
    </row>
    <row r="330">
      <c r="A330" s="236" t="inlineStr">
        <is>
          <t>As Paixões do Parlêtre</t>
        </is>
      </c>
      <c r="B330" s="165" t="n">
        <v>1</v>
      </c>
      <c r="C330" s="248" t="n">
        <v>100</v>
      </c>
      <c r="D330" s="248">
        <f>C330</f>
        <v/>
      </c>
      <c r="E330" s="248" t="n"/>
      <c r="F330" s="248">
        <f>D330</f>
        <v/>
      </c>
      <c r="G330" s="236" t="n"/>
      <c r="H330" s="186" t="n">
        <v>45596</v>
      </c>
      <c r="I330" s="236" t="n"/>
      <c r="J330" s="118" t="n"/>
      <c r="K330" s="84" t="inlineStr">
        <is>
          <t>Retirou</t>
        </is>
      </c>
    </row>
    <row r="331">
      <c r="A331" s="236" t="inlineStr">
        <is>
          <t>As Paixões do Parlêtre</t>
        </is>
      </c>
      <c r="B331" s="165" t="n">
        <v>1</v>
      </c>
      <c r="C331" s="248" t="n">
        <v>100</v>
      </c>
      <c r="D331" s="248">
        <f>C331</f>
        <v/>
      </c>
      <c r="E331" s="248" t="n"/>
      <c r="F331" s="248">
        <f>D331</f>
        <v/>
      </c>
      <c r="G331" s="236" t="n"/>
      <c r="H331" s="186" t="n">
        <v>45600</v>
      </c>
      <c r="I331" s="236" t="n"/>
      <c r="J331" s="118" t="n"/>
      <c r="K331" s="84" t="inlineStr">
        <is>
          <t>Retirou</t>
        </is>
      </c>
    </row>
    <row r="332">
      <c r="A332" s="236" t="inlineStr">
        <is>
          <t>Agente 20</t>
        </is>
      </c>
      <c r="B332" s="165" t="n">
        <v>3</v>
      </c>
      <c r="C332" s="248" t="n">
        <v>49</v>
      </c>
      <c r="D332" s="248">
        <f>C332</f>
        <v/>
      </c>
      <c r="E332" s="248" t="n"/>
      <c r="F332" s="248">
        <f>D332</f>
        <v/>
      </c>
      <c r="G332" s="236" t="n"/>
      <c r="H332" s="186" t="n">
        <v>45600</v>
      </c>
      <c r="I332" s="236" t="n"/>
      <c r="J332" s="118" t="n"/>
      <c r="K332" s="84" t="inlineStr">
        <is>
          <t>Retirou</t>
        </is>
      </c>
    </row>
    <row r="333">
      <c r="A333" s="236" t="inlineStr">
        <is>
          <t>Paixões do Parlêtre</t>
        </is>
      </c>
      <c r="B333" s="165" t="n">
        <v>1</v>
      </c>
      <c r="C333" s="248" t="n">
        <v>100</v>
      </c>
      <c r="D333" s="248">
        <f>C333</f>
        <v/>
      </c>
      <c r="E333" s="248" t="n"/>
      <c r="F333" s="248">
        <f>D333</f>
        <v/>
      </c>
      <c r="G333" s="236" t="n"/>
      <c r="H333" s="186" t="n">
        <v>45601</v>
      </c>
      <c r="I333" s="236" t="n"/>
      <c r="J333" s="118" t="n"/>
      <c r="K333" s="84" t="inlineStr">
        <is>
          <t>Retirou</t>
        </is>
      </c>
    </row>
    <row r="334">
      <c r="A334" s="236" t="inlineStr">
        <is>
          <t>Reiventar la Escuela</t>
        </is>
      </c>
      <c r="B334" s="165" t="n">
        <v>1</v>
      </c>
      <c r="C334" s="248" t="n">
        <v>120</v>
      </c>
      <c r="D334" s="248">
        <f>C334</f>
        <v/>
      </c>
      <c r="E334" s="248" t="n"/>
      <c r="F334" s="248">
        <f>D334</f>
        <v/>
      </c>
      <c r="G334" s="236" t="n"/>
      <c r="H334" s="186" t="n">
        <v>45601</v>
      </c>
      <c r="I334" s="236" t="n"/>
      <c r="J334" s="118" t="n"/>
      <c r="K334" s="84" t="inlineStr">
        <is>
          <t>Retirou</t>
        </is>
      </c>
    </row>
    <row r="335">
      <c r="A335" s="236" t="inlineStr">
        <is>
          <t>Lacan e a solução inteligente</t>
        </is>
      </c>
      <c r="B335" s="165" t="n">
        <v>1</v>
      </c>
      <c r="C335" s="248" t="n">
        <v>68</v>
      </c>
      <c r="D335" s="248">
        <f>C335</f>
        <v/>
      </c>
      <c r="E335" s="248" t="n"/>
      <c r="F335" s="248">
        <f>D335</f>
        <v/>
      </c>
      <c r="G335" s="236" t="n"/>
      <c r="H335" s="186" t="n">
        <v>45601</v>
      </c>
      <c r="I335" s="236" t="n"/>
      <c r="J335" s="118" t="n"/>
      <c r="K335" s="84" t="inlineStr">
        <is>
          <t>Retirou</t>
        </is>
      </c>
    </row>
    <row r="336">
      <c r="A336" s="236" t="inlineStr">
        <is>
          <t>A Paixão</t>
        </is>
      </c>
      <c r="B336" s="165" t="n">
        <v>1</v>
      </c>
      <c r="C336" s="248" t="n">
        <v>67</v>
      </c>
      <c r="D336" s="248">
        <f>C336</f>
        <v/>
      </c>
      <c r="E336" s="248" t="n"/>
      <c r="F336" s="248">
        <f>D336</f>
        <v/>
      </c>
      <c r="G336" s="236" t="n"/>
      <c r="H336" s="186" t="n">
        <v>45601</v>
      </c>
      <c r="I336" s="236" t="n"/>
      <c r="J336" s="118" t="n"/>
      <c r="K336" s="84" t="inlineStr">
        <is>
          <t>Retirou</t>
        </is>
      </c>
    </row>
    <row r="337">
      <c r="A337" s="236" t="inlineStr">
        <is>
          <t>Agente 21</t>
        </is>
      </c>
      <c r="B337" s="165" t="n">
        <v>1</v>
      </c>
      <c r="C337" s="248" t="n">
        <v>70</v>
      </c>
      <c r="D337" s="248">
        <f>C337</f>
        <v/>
      </c>
      <c r="E337" s="248" t="n"/>
      <c r="F337" s="248">
        <f>D337</f>
        <v/>
      </c>
      <c r="G337" s="236" t="n"/>
      <c r="H337" s="186" t="n">
        <v>45601</v>
      </c>
      <c r="I337" s="236" t="n"/>
      <c r="J337" s="118" t="n"/>
      <c r="K337" s="84" t="inlineStr">
        <is>
          <t>Retirou</t>
        </is>
      </c>
    </row>
    <row r="338">
      <c r="A338" s="236" t="inlineStr">
        <is>
          <t>As Paixões do Parlêtre</t>
        </is>
      </c>
      <c r="B338" s="165" t="n">
        <v>1</v>
      </c>
      <c r="C338" s="248" t="n">
        <v>90</v>
      </c>
      <c r="D338" s="248">
        <f>C338</f>
        <v/>
      </c>
      <c r="E338" s="248" t="n"/>
      <c r="F338" s="248">
        <f>D338</f>
        <v/>
      </c>
      <c r="G338" s="236" t="n"/>
      <c r="H338" s="186" t="n">
        <v>45601</v>
      </c>
      <c r="I338" s="236" t="n"/>
      <c r="J338" s="118" t="n"/>
      <c r="K338" s="84" t="inlineStr">
        <is>
          <t>Retirou</t>
        </is>
      </c>
    </row>
    <row r="339">
      <c r="A339" s="236" t="inlineStr">
        <is>
          <t>La Diferença de Los Sexos</t>
        </is>
      </c>
      <c r="B339" s="165" t="n">
        <v>1</v>
      </c>
      <c r="C339" s="248" t="n">
        <v>160</v>
      </c>
      <c r="D339" s="248">
        <f>C339</f>
        <v/>
      </c>
      <c r="E339" s="248" t="n"/>
      <c r="F339" s="248">
        <f>D339</f>
        <v/>
      </c>
      <c r="G339" s="236" t="n"/>
      <c r="H339" s="186" t="n">
        <v>45607</v>
      </c>
      <c r="I339" s="236" t="n"/>
      <c r="J339" s="118" t="n"/>
      <c r="K339" s="84" t="inlineStr">
        <is>
          <t>Retirou</t>
        </is>
      </c>
    </row>
    <row r="340">
      <c r="A340" s="236" t="inlineStr">
        <is>
          <t>Suenos y Despertares</t>
        </is>
      </c>
      <c r="B340" s="165" t="n">
        <v>1</v>
      </c>
      <c r="C340" s="248" t="n">
        <v>60</v>
      </c>
      <c r="D340" s="248">
        <f>C340</f>
        <v/>
      </c>
      <c r="E340" s="248" t="n"/>
      <c r="F340" s="248">
        <f>D340</f>
        <v/>
      </c>
      <c r="G340" s="236" t="n"/>
      <c r="H340" s="186" t="n">
        <v>45607</v>
      </c>
      <c r="I340" s="236" t="n"/>
      <c r="J340" s="118" t="n"/>
      <c r="K340" s="84" t="inlineStr">
        <is>
          <t>Retirou</t>
        </is>
      </c>
    </row>
    <row r="341">
      <c r="A341" s="236" t="inlineStr">
        <is>
          <t>Seminário Neves Soria Dafunchi 1-Clinica da Sexuação</t>
        </is>
      </c>
      <c r="B341" s="165" t="n">
        <v>1</v>
      </c>
      <c r="C341" s="248" t="n">
        <v>20</v>
      </c>
      <c r="D341" s="248">
        <f>C341</f>
        <v/>
      </c>
      <c r="E341" s="248" t="n"/>
      <c r="F341" s="248">
        <f>D341</f>
        <v/>
      </c>
      <c r="G341" s="236" t="n"/>
      <c r="H341" s="186" t="n">
        <v>45607</v>
      </c>
      <c r="I341" s="236" t="n"/>
      <c r="J341" s="118" t="n"/>
      <c r="K341" s="84" t="inlineStr">
        <is>
          <t>Retirou</t>
        </is>
      </c>
    </row>
    <row r="342">
      <c r="A342" s="236" t="inlineStr">
        <is>
          <t>As Paixões do Parlêtre</t>
        </is>
      </c>
      <c r="B342" s="165" t="n">
        <v>1</v>
      </c>
      <c r="C342" s="248" t="n">
        <v>100</v>
      </c>
      <c r="D342" s="248">
        <f>C342</f>
        <v/>
      </c>
      <c r="E342" s="248" t="n"/>
      <c r="F342" s="248">
        <f>D342</f>
        <v/>
      </c>
      <c r="G342" s="236" t="n"/>
      <c r="H342" s="186" t="n">
        <v>45608</v>
      </c>
      <c r="I342" s="236" t="n"/>
      <c r="J342" s="118" t="n"/>
      <c r="K342" s="84" t="inlineStr">
        <is>
          <t>Retirou</t>
        </is>
      </c>
    </row>
    <row r="343">
      <c r="A343" s="236" t="inlineStr">
        <is>
          <t>As Paixões do Parlêtre</t>
        </is>
      </c>
      <c r="B343" s="165" t="n">
        <v>1</v>
      </c>
      <c r="C343" s="248" t="n">
        <v>90</v>
      </c>
      <c r="D343" s="248">
        <f>C343</f>
        <v/>
      </c>
      <c r="E343" s="248" t="n"/>
      <c r="F343" s="248">
        <f>D343</f>
        <v/>
      </c>
      <c r="G343" s="236" t="n"/>
      <c r="H343" s="186" t="n">
        <v>45609</v>
      </c>
      <c r="I343" s="236" t="n"/>
      <c r="J343" s="118" t="n"/>
      <c r="K343" s="84" t="inlineStr">
        <is>
          <t>Retirou</t>
        </is>
      </c>
    </row>
    <row r="344">
      <c r="A344" s="236" t="inlineStr">
        <is>
          <t>Agente 21</t>
        </is>
      </c>
      <c r="B344" s="165" t="n">
        <v>1</v>
      </c>
      <c r="C344" s="248" t="n">
        <v>70</v>
      </c>
      <c r="D344" s="248">
        <f>C344</f>
        <v/>
      </c>
      <c r="E344" s="248" t="n"/>
      <c r="F344" s="248">
        <f>D344</f>
        <v/>
      </c>
      <c r="G344" s="236" t="n"/>
      <c r="H344" s="186" t="n">
        <v>45609</v>
      </c>
      <c r="I344" s="236" t="n"/>
      <c r="J344" s="118" t="n"/>
      <c r="K344" s="84" t="inlineStr">
        <is>
          <t>Retirou</t>
        </is>
      </c>
    </row>
    <row r="345">
      <c r="A345" s="236" t="inlineStr">
        <is>
          <t>As Paixões do Parlêtre</t>
        </is>
      </c>
      <c r="B345" s="165" t="n">
        <v>1</v>
      </c>
      <c r="C345" s="248" t="n">
        <v>100</v>
      </c>
      <c r="D345" s="248">
        <f>C345</f>
        <v/>
      </c>
      <c r="E345" s="248" t="n"/>
      <c r="F345" s="248">
        <f>D345</f>
        <v/>
      </c>
      <c r="G345" s="236" t="n"/>
      <c r="H345" s="186" t="n">
        <v>45609</v>
      </c>
      <c r="I345" s="236" t="n"/>
      <c r="J345" s="118" t="n"/>
      <c r="K345" s="84" t="inlineStr">
        <is>
          <t>Retirou</t>
        </is>
      </c>
    </row>
    <row r="346">
      <c r="A346" s="236" t="inlineStr">
        <is>
          <t>Agente 21</t>
        </is>
      </c>
      <c r="B346" s="165" t="n">
        <v>1</v>
      </c>
      <c r="C346" s="248" t="n">
        <v>70</v>
      </c>
      <c r="D346" s="248">
        <f>C346</f>
        <v/>
      </c>
      <c r="E346" s="248" t="n"/>
      <c r="F346" s="248">
        <f>D346</f>
        <v/>
      </c>
      <c r="G346" s="236" t="n"/>
      <c r="H346" s="186" t="n">
        <v>45609</v>
      </c>
      <c r="I346" s="236" t="n"/>
      <c r="J346" s="118" t="n"/>
      <c r="K346" s="84" t="inlineStr">
        <is>
          <t>Retirou</t>
        </is>
      </c>
    </row>
    <row r="347">
      <c r="A347" s="236" t="inlineStr">
        <is>
          <t>Todo Mundo é Louco</t>
        </is>
      </c>
      <c r="B347" s="165" t="n">
        <v>1</v>
      </c>
      <c r="C347" s="248" t="n">
        <v>250</v>
      </c>
      <c r="D347" s="248">
        <f>C347</f>
        <v/>
      </c>
      <c r="E347" s="248" t="n"/>
      <c r="F347" s="248">
        <f>D347</f>
        <v/>
      </c>
      <c r="G347" s="236" t="n"/>
      <c r="H347" s="186" t="n">
        <v>45610</v>
      </c>
      <c r="I347" s="236" t="n"/>
      <c r="J347" s="118" t="n"/>
      <c r="K347" s="84" t="inlineStr">
        <is>
          <t>Retirou</t>
        </is>
      </c>
    </row>
    <row r="348">
      <c r="A348" s="236" t="inlineStr">
        <is>
          <t>As Paixões do Parlêtre</t>
        </is>
      </c>
      <c r="B348" s="165" t="n">
        <v>1</v>
      </c>
      <c r="C348" s="248" t="n">
        <v>100</v>
      </c>
      <c r="D348" s="248">
        <f>C348</f>
        <v/>
      </c>
      <c r="E348" s="248" t="n"/>
      <c r="F348" s="248">
        <f>D348</f>
        <v/>
      </c>
      <c r="G348" s="236" t="n"/>
      <c r="H348" s="186" t="n">
        <v>45614</v>
      </c>
      <c r="I348" s="236" t="n"/>
      <c r="J348" s="118" t="n"/>
      <c r="K348" s="84" t="inlineStr">
        <is>
          <t>Retirou</t>
        </is>
      </c>
    </row>
    <row r="349">
      <c r="A349" s="236" t="inlineStr">
        <is>
          <t>Agente 21</t>
        </is>
      </c>
      <c r="B349" s="165" t="n">
        <v>1</v>
      </c>
      <c r="C349" s="248" t="n">
        <v>70</v>
      </c>
      <c r="D349" s="248">
        <f>C349</f>
        <v/>
      </c>
      <c r="E349" s="248" t="n"/>
      <c r="F349" s="248">
        <f>D349</f>
        <v/>
      </c>
      <c r="G349" s="236" t="n"/>
      <c r="H349" s="186" t="n">
        <v>45614</v>
      </c>
      <c r="I349" s="236" t="n"/>
      <c r="J349" s="118" t="n"/>
      <c r="K349" s="84" t="inlineStr">
        <is>
          <t>Retirou</t>
        </is>
      </c>
    </row>
    <row r="350">
      <c r="A350" s="236" t="inlineStr">
        <is>
          <t>As Paixões do Parlêtre</t>
        </is>
      </c>
      <c r="B350" s="165" t="n">
        <v>1</v>
      </c>
      <c r="C350" s="248" t="n">
        <v>90</v>
      </c>
      <c r="D350" s="248">
        <f>C350</f>
        <v/>
      </c>
      <c r="E350" s="248" t="n"/>
      <c r="F350" s="248">
        <f>D350</f>
        <v/>
      </c>
      <c r="G350" s="236" t="n"/>
      <c r="H350" s="186" t="n">
        <v>45615</v>
      </c>
      <c r="I350" s="236" t="n"/>
      <c r="J350" s="118" t="n"/>
      <c r="K350" s="84" t="inlineStr">
        <is>
          <t>Retirou</t>
        </is>
      </c>
    </row>
    <row r="351">
      <c r="A351" s="236" t="inlineStr">
        <is>
          <t>As Paixões do Parlêtre</t>
        </is>
      </c>
      <c r="B351" s="165" t="n">
        <v>193</v>
      </c>
      <c r="C351" s="248" t="n">
        <v>13510</v>
      </c>
      <c r="D351" s="248">
        <f>C351</f>
        <v/>
      </c>
      <c r="E351" s="248" t="n"/>
      <c r="F351" s="248">
        <f>D351</f>
        <v/>
      </c>
      <c r="G351" s="236" t="n"/>
      <c r="H351" s="186" t="n">
        <v>45622</v>
      </c>
      <c r="I351" s="236" t="n"/>
      <c r="J351" s="118" t="n"/>
      <c r="K351" s="165" t="inlineStr">
        <is>
          <t>Retirou</t>
        </is>
      </c>
    </row>
    <row r="352">
      <c r="A352" s="236" t="inlineStr">
        <is>
          <t>Agente 21</t>
        </is>
      </c>
      <c r="B352" s="165" t="n">
        <v>1</v>
      </c>
      <c r="C352" s="248" t="n">
        <v>70</v>
      </c>
      <c r="D352" s="248">
        <f>C352</f>
        <v/>
      </c>
      <c r="E352" s="248" t="n"/>
      <c r="F352" s="248">
        <f>D352</f>
        <v/>
      </c>
      <c r="G352" s="236" t="n"/>
      <c r="H352" s="186" t="n">
        <v>45622</v>
      </c>
      <c r="I352" s="236" t="n"/>
      <c r="J352" s="118" t="n"/>
      <c r="K352" s="165" t="inlineStr">
        <is>
          <t>Retirou</t>
        </is>
      </c>
    </row>
    <row r="353">
      <c r="A353" s="236" t="inlineStr">
        <is>
          <t>La Diferença de Los Sexos - Miquel Bassols</t>
        </is>
      </c>
      <c r="B353" s="165" t="n">
        <v>1</v>
      </c>
      <c r="C353" s="248" t="n">
        <v>80</v>
      </c>
      <c r="D353" s="248">
        <f>C353</f>
        <v/>
      </c>
      <c r="E353" s="248" t="n"/>
      <c r="F353" s="248" t="n"/>
      <c r="G353" s="236" t="n"/>
      <c r="H353" s="186" t="n">
        <v>45639</v>
      </c>
      <c r="I353" s="236" t="n"/>
      <c r="J353" s="118" t="n"/>
      <c r="K353" s="165" t="inlineStr">
        <is>
          <t>Entregue</t>
        </is>
      </c>
    </row>
    <row r="354">
      <c r="A354" s="236" t="inlineStr">
        <is>
          <t>La angústia lacaniana</t>
        </is>
      </c>
      <c r="B354" s="165" t="n">
        <v>1</v>
      </c>
      <c r="C354" s="248" t="n">
        <v>150</v>
      </c>
      <c r="D354" s="248">
        <f>C354</f>
        <v/>
      </c>
      <c r="E354" s="248" t="n"/>
      <c r="F354" s="248" t="n"/>
      <c r="G354" s="236" t="n"/>
      <c r="H354" s="186" t="n">
        <v>45639</v>
      </c>
      <c r="I354" s="236" t="n"/>
      <c r="J354" s="118" t="n"/>
      <c r="K354" s="165" t="inlineStr">
        <is>
          <t>Entregue</t>
        </is>
      </c>
    </row>
    <row r="355">
      <c r="A355" s="236" t="inlineStr">
        <is>
          <t>El padre em Cuestion - Juan Carlos Indart</t>
        </is>
      </c>
      <c r="B355" s="165" t="n">
        <v>1</v>
      </c>
      <c r="C355" s="248" t="n">
        <v>90</v>
      </c>
      <c r="D355" s="248">
        <f>C355</f>
        <v/>
      </c>
      <c r="E355" s="248" t="n"/>
      <c r="F355" s="248" t="n"/>
      <c r="G355" s="236" t="n"/>
      <c r="H355" s="186" t="n">
        <v>45639</v>
      </c>
      <c r="I355" s="236" t="n"/>
      <c r="J355" s="118" t="n"/>
      <c r="K355" s="165" t="inlineStr">
        <is>
          <t>Entregue</t>
        </is>
      </c>
    </row>
    <row r="356">
      <c r="A356" s="236" t="inlineStr">
        <is>
          <t>Menos que um - Patrícia Melo</t>
        </is>
      </c>
      <c r="B356" s="165" t="n">
        <v>1</v>
      </c>
      <c r="C356" s="248" t="n">
        <v>55</v>
      </c>
      <c r="D356" s="248">
        <f>C356</f>
        <v/>
      </c>
      <c r="E356" s="248" t="n"/>
      <c r="F356" s="248" t="n"/>
      <c r="G356" s="236" t="n"/>
      <c r="H356" s="186" t="n">
        <v>45639</v>
      </c>
      <c r="I356" s="236" t="n"/>
      <c r="J356" s="118" t="n"/>
      <c r="K356" s="165" t="inlineStr">
        <is>
          <t>Entregue</t>
        </is>
      </c>
    </row>
    <row r="357">
      <c r="A357" s="236" t="inlineStr">
        <is>
          <t>Ruídos e Silêncios da Vida Confinada</t>
        </is>
      </c>
      <c r="B357" s="165" t="n">
        <v>1</v>
      </c>
      <c r="C357" s="248" t="n">
        <v>77</v>
      </c>
      <c r="D357" s="248">
        <f>C357</f>
        <v/>
      </c>
      <c r="E357" s="248" t="n"/>
      <c r="F357" s="248" t="n"/>
      <c r="G357" s="236" t="n"/>
      <c r="H357" s="186" t="n">
        <v>45639</v>
      </c>
      <c r="I357" s="236" t="n"/>
      <c r="J357" s="118" t="n"/>
      <c r="K357" s="165" t="inlineStr">
        <is>
          <t>Entregue</t>
        </is>
      </c>
    </row>
    <row r="358">
      <c r="A358" s="236" t="inlineStr">
        <is>
          <t>El Sinsentido del Sintoma</t>
        </is>
      </c>
      <c r="B358" s="165" t="n">
        <v>1</v>
      </c>
      <c r="C358" s="248" t="n">
        <v>95</v>
      </c>
      <c r="D358" s="248">
        <f>C358</f>
        <v/>
      </c>
      <c r="E358" s="248" t="n"/>
      <c r="F358" s="248" t="n"/>
      <c r="G358" s="236" t="n"/>
      <c r="H358" s="186" t="n">
        <v>45644</v>
      </c>
      <c r="I358" s="236" t="n"/>
      <c r="J358" s="118" t="n"/>
      <c r="K358" s="165" t="inlineStr">
        <is>
          <t>Entregue</t>
        </is>
      </c>
    </row>
    <row r="359">
      <c r="A359" s="236" t="inlineStr">
        <is>
          <t>El Sinsentido del Sintoma</t>
        </is>
      </c>
      <c r="B359" s="165" t="n">
        <v>1</v>
      </c>
      <c r="C359" s="248" t="n">
        <v>95</v>
      </c>
      <c r="D359" s="248">
        <f>C359</f>
        <v/>
      </c>
      <c r="E359" s="248" t="n"/>
      <c r="F359" s="248" t="n"/>
      <c r="G359" s="236" t="n"/>
      <c r="H359" s="186" t="n">
        <v>45645</v>
      </c>
      <c r="I359" s="236" t="n"/>
      <c r="J359" s="118" t="n"/>
      <c r="K359" s="165" t="inlineStr">
        <is>
          <t>Entregue</t>
        </is>
      </c>
    </row>
    <row r="360">
      <c r="A360" s="236" t="inlineStr">
        <is>
          <t>Fundamentos da Prática Lacaniana</t>
        </is>
      </c>
      <c r="B360" s="165" t="n">
        <v>1</v>
      </c>
      <c r="C360" s="248" t="n">
        <v>60</v>
      </c>
      <c r="D360" s="248">
        <f>C360</f>
        <v/>
      </c>
      <c r="E360" s="248" t="n"/>
      <c r="F360" s="248" t="n"/>
      <c r="G360" s="236" t="n"/>
      <c r="H360" s="186" t="n">
        <v>45673</v>
      </c>
      <c r="I360" s="236" t="n"/>
      <c r="J360" s="118" t="n"/>
      <c r="K360" s="165" t="inlineStr">
        <is>
          <t>Entregue</t>
        </is>
      </c>
    </row>
    <row r="361">
      <c r="A361" s="236" t="inlineStr">
        <is>
          <t>El reverso de la Biopolítica</t>
        </is>
      </c>
      <c r="B361" s="165" t="n">
        <v>1</v>
      </c>
      <c r="C361" s="248" t="n">
        <v>90</v>
      </c>
      <c r="D361" s="248">
        <f>C361</f>
        <v/>
      </c>
      <c r="E361" s="248" t="n"/>
      <c r="F361" s="248" t="n"/>
      <c r="G361" s="236" t="n"/>
      <c r="H361" s="186" t="n">
        <v>45673</v>
      </c>
      <c r="I361" s="236" t="n"/>
      <c r="J361" s="118" t="n"/>
      <c r="K361" s="165" t="inlineStr">
        <is>
          <t>Entregue</t>
        </is>
      </c>
    </row>
    <row r="362">
      <c r="A362" s="236" t="inlineStr">
        <is>
          <t>Lacan e a solução inteligente</t>
        </is>
      </c>
      <c r="B362" s="165" t="n">
        <v>1</v>
      </c>
      <c r="C362" s="248" t="n">
        <v>68</v>
      </c>
      <c r="D362" s="248">
        <f>C362</f>
        <v/>
      </c>
      <c r="E362" s="248" t="n"/>
      <c r="F362" s="248" t="n"/>
      <c r="G362" s="236" t="n"/>
      <c r="H362" s="186" t="n">
        <v>45673</v>
      </c>
      <c r="I362" s="236" t="n"/>
      <c r="J362" s="118" t="n"/>
      <c r="K362" s="165" t="inlineStr">
        <is>
          <t>Entregue</t>
        </is>
      </c>
    </row>
    <row r="363">
      <c r="A363" s="236" t="inlineStr">
        <is>
          <t>Foraclusão e suas dores</t>
        </is>
      </c>
      <c r="B363" s="165" t="n">
        <v>1</v>
      </c>
      <c r="C363" s="248" t="n">
        <v>80</v>
      </c>
      <c r="D363" s="248">
        <f>C363</f>
        <v/>
      </c>
      <c r="E363" s="248" t="n"/>
      <c r="F363" s="248" t="n"/>
      <c r="G363" s="236" t="n"/>
      <c r="H363" s="186" t="n">
        <v>45673</v>
      </c>
      <c r="I363" s="236" t="n"/>
      <c r="J363" s="118" t="n"/>
      <c r="K363" s="165" t="inlineStr">
        <is>
          <t>Entregue</t>
        </is>
      </c>
    </row>
    <row r="364">
      <c r="A364" s="236" t="inlineStr">
        <is>
          <t>La leyenda negra de Jacques Lacan</t>
        </is>
      </c>
      <c r="B364" s="165" t="n">
        <v>1</v>
      </c>
      <c r="C364" s="248" t="n">
        <v>65</v>
      </c>
      <c r="D364" s="248">
        <f>C364</f>
        <v/>
      </c>
      <c r="E364" s="248" t="n"/>
      <c r="F364" s="248" t="n"/>
      <c r="G364" s="236" t="n"/>
      <c r="H364" s="186" t="n">
        <v>45673</v>
      </c>
      <c r="I364" s="236" t="n"/>
      <c r="J364" s="118" t="n"/>
      <c r="K364" s="165" t="inlineStr">
        <is>
          <t>Entregue</t>
        </is>
      </c>
    </row>
    <row r="365">
      <c r="A365" s="236" t="inlineStr">
        <is>
          <t>Lacan hispano</t>
        </is>
      </c>
      <c r="B365" s="165" t="n">
        <v>1</v>
      </c>
      <c r="C365" s="248" t="n">
        <v>130</v>
      </c>
      <c r="D365" s="248">
        <f>C365</f>
        <v/>
      </c>
      <c r="E365" s="248" t="n"/>
      <c r="F365" s="248" t="n"/>
      <c r="G365" s="236" t="n"/>
      <c r="H365" s="186" t="n">
        <v>45673</v>
      </c>
      <c r="I365" s="236" t="n"/>
      <c r="J365" s="118" t="n"/>
      <c r="K365" s="165" t="inlineStr">
        <is>
          <t>Entregue</t>
        </is>
      </c>
    </row>
    <row r="366">
      <c r="A366" s="236" t="inlineStr">
        <is>
          <t>A Função do Pai na psicanálise</t>
        </is>
      </c>
      <c r="B366" s="165" t="n">
        <v>1</v>
      </c>
      <c r="C366" s="248" t="n">
        <v>60</v>
      </c>
      <c r="D366" s="248">
        <f>C366</f>
        <v/>
      </c>
      <c r="E366" s="248" t="n"/>
      <c r="F366" s="248" t="n"/>
      <c r="G366" s="236" t="n"/>
      <c r="H366" s="186" t="n">
        <v>45673</v>
      </c>
      <c r="I366" s="236" t="n"/>
      <c r="J366" s="118" t="n"/>
      <c r="K366" s="165" t="inlineStr">
        <is>
          <t>Entregue</t>
        </is>
      </c>
    </row>
    <row r="367" ht="27" customHeight="1" s="317">
      <c r="A367" s="236" t="n"/>
      <c r="B367" s="165" t="n">
        <v>742</v>
      </c>
      <c r="C367" s="248" t="n"/>
      <c r="D367" s="248" t="n"/>
      <c r="E367" s="248" t="n"/>
      <c r="F367" s="248">
        <f>D367</f>
        <v/>
      </c>
      <c r="G367" s="236" t="n"/>
      <c r="H367" s="186" t="n"/>
      <c r="I367" s="236" t="n"/>
      <c r="J367" s="118" t="n"/>
      <c r="K367" s="165" t="n"/>
    </row>
    <row r="368">
      <c r="J368" s="152" t="n"/>
    </row>
    <row r="369">
      <c r="J369" s="152" t="n"/>
    </row>
    <row r="370">
      <c r="J370" s="152" t="n"/>
    </row>
    <row r="371">
      <c r="J371" s="152" t="n"/>
    </row>
    <row r="372">
      <c r="J372" s="152" t="n"/>
    </row>
    <row r="373">
      <c r="J373" s="152" t="n"/>
    </row>
    <row r="374">
      <c r="J374" s="152" t="n"/>
    </row>
    <row r="375">
      <c r="J375" s="152" t="n"/>
    </row>
    <row r="376">
      <c r="J376" s="152" t="n"/>
    </row>
    <row r="377">
      <c r="J377" s="152" t="n"/>
    </row>
    <row r="378">
      <c r="J378" s="152" t="n"/>
    </row>
    <row r="379">
      <c r="J379" s="152" t="n"/>
    </row>
    <row r="380">
      <c r="J380" s="152" t="n"/>
    </row>
    <row r="381">
      <c r="J381" s="152" t="n"/>
    </row>
    <row r="382">
      <c r="J382" s="152" t="n"/>
    </row>
    <row r="383">
      <c r="J383" s="152" t="n"/>
    </row>
    <row r="384">
      <c r="J384" s="152" t="n"/>
    </row>
    <row r="385">
      <c r="J385" s="152" t="n"/>
    </row>
    <row r="386">
      <c r="J386" s="152" t="n"/>
    </row>
    <row r="387">
      <c r="J387" s="152" t="n"/>
    </row>
    <row r="388">
      <c r="J388" s="152" t="n"/>
    </row>
    <row r="389">
      <c r="J389" s="152" t="n"/>
    </row>
    <row r="390">
      <c r="J390" s="152" t="n"/>
    </row>
    <row r="391">
      <c r="J391" s="152" t="n"/>
    </row>
    <row r="392">
      <c r="J392" s="152" t="n"/>
    </row>
    <row r="393">
      <c r="J393" s="152" t="n"/>
    </row>
    <row r="394">
      <c r="J394" s="152" t="n"/>
    </row>
    <row r="395">
      <c r="J395" s="152" t="n"/>
    </row>
    <row r="396">
      <c r="J396" s="152" t="n"/>
    </row>
    <row r="397">
      <c r="J397" s="152" t="n"/>
    </row>
    <row r="398">
      <c r="J398" s="152" t="n"/>
    </row>
    <row r="399">
      <c r="J399" s="152" t="n"/>
    </row>
    <row r="400">
      <c r="J400" s="152" t="n"/>
    </row>
    <row r="401">
      <c r="J401" s="152" t="n"/>
    </row>
    <row r="402">
      <c r="J402" s="152" t="n"/>
    </row>
    <row r="403">
      <c r="J403" s="152" t="n"/>
    </row>
    <row r="404">
      <c r="J404" s="152" t="n"/>
    </row>
    <row r="405">
      <c r="J405" s="152" t="n"/>
    </row>
    <row r="406">
      <c r="J406" s="152" t="n"/>
    </row>
    <row r="407">
      <c r="J407" s="152" t="n"/>
    </row>
    <row r="408">
      <c r="J408" s="152" t="n"/>
    </row>
    <row r="409">
      <c r="J409" s="152" t="n"/>
    </row>
    <row r="410">
      <c r="J410" s="152" t="n"/>
    </row>
    <row r="411">
      <c r="J411" s="152" t="n"/>
    </row>
    <row r="412">
      <c r="J412" s="152" t="n"/>
    </row>
    <row r="413">
      <c r="J413" s="152" t="n"/>
    </row>
    <row r="414">
      <c r="J414" s="152" t="n"/>
    </row>
    <row r="415">
      <c r="J415" s="152" t="n"/>
    </row>
    <row r="416">
      <c r="J416" s="152" t="n"/>
    </row>
    <row r="417">
      <c r="J417" s="152" t="n"/>
    </row>
    <row r="418">
      <c r="J418" s="152" t="n"/>
    </row>
    <row r="419">
      <c r="J419" s="152" t="n"/>
    </row>
    <row r="420">
      <c r="J420" s="152" t="n"/>
    </row>
    <row r="421">
      <c r="J421" s="152" t="n"/>
    </row>
    <row r="422">
      <c r="J422" s="152" t="n"/>
    </row>
    <row r="423">
      <c r="J423" s="152" t="n"/>
    </row>
    <row r="424">
      <c r="J424" s="152" t="n"/>
    </row>
    <row r="425">
      <c r="J425" s="152" t="n"/>
    </row>
    <row r="426">
      <c r="J426" s="152" t="n"/>
    </row>
    <row r="427">
      <c r="J427" s="152" t="n"/>
    </row>
    <row r="428">
      <c r="J428" s="152" t="n"/>
    </row>
    <row r="429">
      <c r="J429" s="152" t="n"/>
    </row>
    <row r="430">
      <c r="J430" s="152" t="n"/>
    </row>
    <row r="431">
      <c r="J431" s="152" t="n"/>
    </row>
    <row r="432">
      <c r="J432" s="152" t="n"/>
    </row>
    <row r="433">
      <c r="J433" s="152" t="n"/>
    </row>
    <row r="434">
      <c r="J434" s="152" t="n"/>
    </row>
    <row r="435">
      <c r="J435" s="152" t="n"/>
    </row>
    <row r="436">
      <c r="J436" s="152" t="n"/>
    </row>
    <row r="437">
      <c r="J437" s="152" t="n"/>
    </row>
    <row r="438">
      <c r="J438" s="152" t="n"/>
    </row>
    <row r="439">
      <c r="J439" s="152" t="n"/>
    </row>
    <row r="440">
      <c r="J440" s="152" t="n"/>
    </row>
    <row r="441">
      <c r="J441" s="152" t="n"/>
    </row>
    <row r="442">
      <c r="J442" s="152" t="n"/>
    </row>
    <row r="443">
      <c r="J443" s="152" t="n"/>
    </row>
    <row r="444">
      <c r="J444" s="152" t="n"/>
    </row>
    <row r="445">
      <c r="J445" s="152" t="n"/>
    </row>
    <row r="446">
      <c r="J446" s="152" t="n"/>
    </row>
    <row r="447">
      <c r="J447" s="152" t="n"/>
    </row>
    <row r="448">
      <c r="J448" s="152" t="n"/>
    </row>
    <row r="449">
      <c r="J449" s="152" t="n"/>
    </row>
    <row r="450">
      <c r="J450" s="152" t="n"/>
    </row>
    <row r="451">
      <c r="J451" s="152" t="n"/>
    </row>
    <row r="452">
      <c r="J452" s="152" t="n"/>
    </row>
    <row r="453">
      <c r="J453" s="152" t="n"/>
    </row>
    <row r="454">
      <c r="J454" s="152" t="n"/>
    </row>
    <row r="455">
      <c r="J455" s="152" t="n"/>
    </row>
    <row r="456">
      <c r="J456" s="152" t="n"/>
    </row>
    <row r="457">
      <c r="J457" s="152" t="n"/>
    </row>
    <row r="458">
      <c r="J458" s="152" t="n"/>
    </row>
    <row r="459">
      <c r="J459" s="152" t="n"/>
    </row>
    <row r="460">
      <c r="J460" s="152" t="n"/>
    </row>
    <row r="461">
      <c r="J461" s="152" t="n"/>
    </row>
    <row r="462">
      <c r="J462" s="152" t="n"/>
    </row>
    <row r="463">
      <c r="J463" s="152" t="n"/>
    </row>
    <row r="464">
      <c r="J464" s="152" t="n"/>
    </row>
    <row r="465">
      <c r="J465" s="152" t="n"/>
    </row>
    <row r="466">
      <c r="J466" s="152" t="n"/>
    </row>
    <row r="467">
      <c r="J467" s="152" t="n"/>
    </row>
    <row r="468">
      <c r="J468" s="152" t="n"/>
    </row>
    <row r="469">
      <c r="J469" s="152" t="n"/>
    </row>
    <row r="470">
      <c r="J470" s="152" t="n"/>
    </row>
    <row r="471">
      <c r="J471" s="152" t="n"/>
    </row>
    <row r="472">
      <c r="J472" s="152" t="n"/>
    </row>
    <row r="473">
      <c r="J473" s="152" t="n"/>
    </row>
    <row r="474">
      <c r="J474" s="152" t="n"/>
    </row>
    <row r="475">
      <c r="J475" s="152" t="n"/>
    </row>
    <row r="476">
      <c r="J476" s="152" t="n"/>
    </row>
    <row r="477">
      <c r="J477" s="152" t="n"/>
    </row>
    <row r="478">
      <c r="J478" s="152" t="n"/>
    </row>
    <row r="479">
      <c r="J479" s="152" t="n"/>
    </row>
    <row r="480">
      <c r="J480" s="152" t="n"/>
    </row>
    <row r="481">
      <c r="J481" s="152" t="n"/>
    </row>
    <row r="482">
      <c r="J482" s="152" t="n"/>
    </row>
    <row r="483">
      <c r="J483" s="152" t="n"/>
    </row>
    <row r="484">
      <c r="J484" s="152" t="n"/>
    </row>
    <row r="485">
      <c r="J485" s="152" t="n"/>
    </row>
    <row r="486">
      <c r="J486" s="152" t="n"/>
    </row>
    <row r="487">
      <c r="J487" s="152" t="n"/>
    </row>
    <row r="488">
      <c r="J488" s="152" t="n"/>
    </row>
    <row r="489">
      <c r="J489" s="152" t="n"/>
    </row>
    <row r="490">
      <c r="J490" s="152" t="n"/>
    </row>
    <row r="491">
      <c r="J491" s="152" t="n"/>
    </row>
    <row r="492">
      <c r="J492" s="152" t="n"/>
    </row>
    <row r="493">
      <c r="J493" s="152" t="n"/>
    </row>
    <row r="494">
      <c r="J494" s="152" t="n"/>
    </row>
    <row r="495">
      <c r="J495" s="152" t="n"/>
    </row>
    <row r="496">
      <c r="J496" s="152" t="n"/>
    </row>
    <row r="497">
      <c r="J497" s="152" t="n"/>
    </row>
    <row r="498">
      <c r="J498" s="152" t="n"/>
    </row>
    <row r="499">
      <c r="J499" s="152" t="n"/>
    </row>
    <row r="500">
      <c r="J500" s="152" t="n"/>
    </row>
    <row r="501">
      <c r="J501" s="152" t="n"/>
    </row>
    <row r="502">
      <c r="J502" s="152" t="n"/>
    </row>
    <row r="503">
      <c r="J503" s="152" t="n"/>
    </row>
    <row r="504">
      <c r="J504" s="152" t="n"/>
    </row>
    <row r="505">
      <c r="J505" s="152" t="n"/>
    </row>
    <row r="506">
      <c r="J506" s="152" t="n"/>
    </row>
    <row r="507">
      <c r="J507" s="152" t="n"/>
    </row>
    <row r="508">
      <c r="J508" s="152" t="n"/>
    </row>
    <row r="509">
      <c r="J509" s="152" t="n"/>
    </row>
    <row r="510">
      <c r="J510" s="152" t="n"/>
    </row>
    <row r="511">
      <c r="J511" s="152" t="n"/>
    </row>
    <row r="512">
      <c r="J512" s="152" t="n"/>
    </row>
    <row r="513">
      <c r="J513" s="152" t="n"/>
    </row>
    <row r="514">
      <c r="J514" s="152" t="n"/>
    </row>
    <row r="515">
      <c r="J515" s="152" t="n"/>
    </row>
    <row r="516">
      <c r="J516" s="152" t="n"/>
    </row>
    <row r="517">
      <c r="J517" s="152" t="n"/>
    </row>
    <row r="518">
      <c r="J518" s="152" t="n"/>
    </row>
    <row r="519">
      <c r="J519" s="152" t="n"/>
    </row>
    <row r="520">
      <c r="J520" s="152" t="n"/>
    </row>
    <row r="521">
      <c r="J521" s="152" t="n"/>
    </row>
    <row r="522">
      <c r="J522" s="152" t="n"/>
    </row>
    <row r="523">
      <c r="J523" s="152" t="n"/>
    </row>
    <row r="524">
      <c r="J524" s="152" t="n"/>
    </row>
    <row r="525">
      <c r="J525" s="152" t="n"/>
    </row>
    <row r="526">
      <c r="J526" s="152" t="n"/>
    </row>
    <row r="527">
      <c r="J527" s="152" t="n"/>
    </row>
    <row r="528">
      <c r="J528" s="152" t="n"/>
    </row>
    <row r="529">
      <c r="J529" s="152" t="n"/>
    </row>
    <row r="530">
      <c r="J530" s="152" t="n"/>
    </row>
    <row r="531">
      <c r="J531" s="152" t="n"/>
    </row>
    <row r="532">
      <c r="J532" s="152" t="n"/>
    </row>
    <row r="533">
      <c r="J533" s="152" t="n"/>
    </row>
    <row r="534">
      <c r="J534" s="152" t="n"/>
    </row>
    <row r="535">
      <c r="J535" s="152" t="n"/>
    </row>
    <row r="536">
      <c r="J536" s="152" t="n"/>
    </row>
    <row r="537">
      <c r="J537" s="152" t="n"/>
    </row>
    <row r="538">
      <c r="J538" s="152" t="n"/>
    </row>
    <row r="539">
      <c r="J539" s="152" t="n"/>
    </row>
    <row r="540">
      <c r="J540" s="152" t="n"/>
    </row>
    <row r="541">
      <c r="J541" s="152" t="n"/>
    </row>
    <row r="542">
      <c r="J542" s="152" t="n"/>
    </row>
    <row r="543">
      <c r="J543" s="152" t="n"/>
    </row>
    <row r="544">
      <c r="J544" s="152" t="n"/>
    </row>
    <row r="545">
      <c r="J545" s="152" t="n"/>
    </row>
    <row r="546">
      <c r="J546" s="152" t="n"/>
    </row>
    <row r="547">
      <c r="J547" s="152" t="n"/>
    </row>
    <row r="548">
      <c r="J548" s="152" t="n"/>
    </row>
    <row r="549">
      <c r="J549" s="152" t="n"/>
    </row>
    <row r="550">
      <c r="J550" s="152" t="n"/>
    </row>
    <row r="551">
      <c r="J551" s="152" t="n"/>
    </row>
    <row r="552">
      <c r="J552" s="152" t="n"/>
    </row>
    <row r="553">
      <c r="J553" s="152" t="n"/>
    </row>
    <row r="554">
      <c r="J554" s="152" t="n"/>
    </row>
    <row r="555">
      <c r="J555" s="152" t="n"/>
    </row>
    <row r="556">
      <c r="J556" s="152" t="n"/>
    </row>
    <row r="557">
      <c r="J557" s="152" t="n"/>
    </row>
    <row r="558">
      <c r="J558" s="152" t="n"/>
    </row>
    <row r="559">
      <c r="J559" s="152" t="n"/>
    </row>
    <row r="560">
      <c r="J560" s="152" t="n"/>
    </row>
    <row r="561">
      <c r="J561" s="152" t="n"/>
    </row>
    <row r="562">
      <c r="J562" s="152" t="n"/>
    </row>
    <row r="563">
      <c r="J563" s="152" t="n"/>
    </row>
    <row r="564">
      <c r="J564" s="152" t="n"/>
    </row>
    <row r="565">
      <c r="J565" s="152" t="n"/>
    </row>
    <row r="566">
      <c r="J566" s="152" t="n"/>
    </row>
    <row r="567">
      <c r="J567" s="152" t="n"/>
    </row>
    <row r="568">
      <c r="J568" s="152" t="n"/>
    </row>
    <row r="569">
      <c r="J569" s="152" t="n"/>
    </row>
    <row r="570">
      <c r="J570" s="152" t="n"/>
    </row>
    <row r="571">
      <c r="J571" s="152" t="n"/>
    </row>
    <row r="572">
      <c r="J572" s="152" t="n"/>
    </row>
    <row r="573">
      <c r="J573" s="152" t="n"/>
    </row>
    <row r="574">
      <c r="J574" s="152" t="n"/>
    </row>
    <row r="575">
      <c r="J575" s="152" t="n"/>
    </row>
    <row r="576">
      <c r="J576" s="152" t="n"/>
    </row>
    <row r="577">
      <c r="J577" s="152" t="n"/>
    </row>
    <row r="578">
      <c r="J578" s="152" t="n"/>
    </row>
    <row r="579">
      <c r="J579" s="152" t="n"/>
    </row>
    <row r="580">
      <c r="J580" s="152" t="n"/>
    </row>
    <row r="581">
      <c r="J581" s="152" t="n"/>
    </row>
    <row r="582">
      <c r="J582" s="152" t="n"/>
    </row>
    <row r="583">
      <c r="J583" s="152" t="n"/>
    </row>
    <row r="584">
      <c r="J584" s="152" t="n"/>
    </row>
    <row r="585">
      <c r="J585" s="152" t="n"/>
    </row>
    <row r="586">
      <c r="J586" s="152" t="n"/>
    </row>
    <row r="587">
      <c r="J587" s="152" t="n"/>
    </row>
    <row r="588">
      <c r="J588" s="152" t="n"/>
    </row>
    <row r="589">
      <c r="J589" s="152" t="n"/>
    </row>
    <row r="590">
      <c r="J590" s="152" t="n"/>
    </row>
    <row r="591">
      <c r="J591" s="152" t="n"/>
    </row>
    <row r="592">
      <c r="J592" s="152" t="n"/>
    </row>
    <row r="593">
      <c r="J593" s="152" t="n"/>
    </row>
    <row r="594">
      <c r="J594" s="152" t="n"/>
    </row>
    <row r="595">
      <c r="J595" s="152" t="n"/>
    </row>
    <row r="596">
      <c r="J596" s="152" t="n"/>
    </row>
    <row r="597">
      <c r="J597" s="152" t="n"/>
    </row>
    <row r="598">
      <c r="J598" s="152" t="n"/>
    </row>
    <row r="599">
      <c r="J599" s="152" t="n"/>
    </row>
    <row r="600">
      <c r="J600" s="152" t="n"/>
    </row>
    <row r="601">
      <c r="J601" s="152" t="n"/>
    </row>
    <row r="602">
      <c r="J602" s="152" t="n"/>
    </row>
    <row r="603">
      <c r="J603" s="152" t="n"/>
    </row>
    <row r="604">
      <c r="J604" s="152" t="n"/>
    </row>
    <row r="605">
      <c r="J605" s="152" t="n"/>
    </row>
    <row r="606">
      <c r="J606" s="152" t="n"/>
    </row>
    <row r="607">
      <c r="J607" s="152" t="n"/>
    </row>
    <row r="608">
      <c r="J608" s="152" t="n"/>
    </row>
    <row r="609">
      <c r="J609" s="152" t="n"/>
    </row>
    <row r="610">
      <c r="J610" s="152" t="n"/>
    </row>
    <row r="611">
      <c r="J611" s="152" t="n"/>
    </row>
    <row r="612">
      <c r="J612" s="152" t="n"/>
    </row>
    <row r="613">
      <c r="J613" s="152" t="n"/>
    </row>
    <row r="614">
      <c r="J614" s="152" t="n"/>
    </row>
    <row r="615">
      <c r="J615" s="152" t="n"/>
    </row>
    <row r="616">
      <c r="J616" s="152" t="n"/>
    </row>
    <row r="617">
      <c r="J617" s="152" t="n"/>
    </row>
    <row r="618">
      <c r="J618" s="152" t="n"/>
    </row>
    <row r="619">
      <c r="J619" s="152" t="n"/>
    </row>
    <row r="620">
      <c r="J620" s="152" t="n"/>
    </row>
    <row r="621">
      <c r="J621" s="152" t="n"/>
    </row>
    <row r="622">
      <c r="J622" s="152" t="n"/>
    </row>
    <row r="623">
      <c r="J623" s="152" t="n"/>
    </row>
    <row r="624">
      <c r="J624" s="152" t="n"/>
    </row>
    <row r="625">
      <c r="J625" s="152" t="n"/>
    </row>
    <row r="626">
      <c r="J626" s="152" t="n"/>
    </row>
    <row r="627">
      <c r="J627" s="152" t="n"/>
    </row>
    <row r="628">
      <c r="J628" s="152" t="n"/>
    </row>
    <row r="629">
      <c r="J629" s="152" t="n"/>
    </row>
    <row r="630">
      <c r="J630" s="152" t="n"/>
    </row>
    <row r="631">
      <c r="J631" s="152" t="n"/>
    </row>
    <row r="632">
      <c r="J632" s="152" t="n"/>
    </row>
    <row r="633">
      <c r="J633" s="152" t="n"/>
    </row>
    <row r="634">
      <c r="J634" s="152" t="n"/>
    </row>
    <row r="635">
      <c r="J635" s="152" t="n"/>
    </row>
    <row r="636">
      <c r="J636" s="152" t="n"/>
    </row>
    <row r="637">
      <c r="J637" s="152" t="n"/>
    </row>
    <row r="638">
      <c r="J638" s="152" t="n"/>
    </row>
    <row r="639">
      <c r="J639" s="152" t="n"/>
    </row>
    <row r="640">
      <c r="J640" s="152" t="n"/>
    </row>
    <row r="641">
      <c r="J641" s="152" t="n"/>
    </row>
    <row r="642">
      <c r="J642" s="152" t="n"/>
    </row>
    <row r="643">
      <c r="J643" s="152" t="n"/>
    </row>
    <row r="644">
      <c r="J644" s="152" t="n"/>
    </row>
    <row r="645">
      <c r="J645" s="152" t="n"/>
    </row>
    <row r="646">
      <c r="J646" s="152" t="n"/>
    </row>
    <row r="647">
      <c r="J647" s="152" t="n"/>
    </row>
    <row r="648">
      <c r="J648" s="152" t="n"/>
    </row>
    <row r="649">
      <c r="J649" s="152" t="n"/>
    </row>
    <row r="650">
      <c r="J650" s="152" t="n"/>
    </row>
    <row r="651">
      <c r="J651" s="152" t="n"/>
    </row>
    <row r="652">
      <c r="J652" s="152" t="n"/>
    </row>
    <row r="653">
      <c r="J653" s="152" t="n"/>
    </row>
    <row r="654">
      <c r="J654" s="152" t="n"/>
    </row>
    <row r="655">
      <c r="J655" s="152" t="n"/>
    </row>
    <row r="656">
      <c r="J656" s="152" t="n"/>
    </row>
    <row r="657">
      <c r="J657" s="152" t="n"/>
    </row>
    <row r="658">
      <c r="J658" s="152" t="n"/>
    </row>
    <row r="659">
      <c r="J659" s="152" t="n"/>
    </row>
    <row r="660">
      <c r="J660" s="152" t="n"/>
    </row>
    <row r="661">
      <c r="J661" s="152" t="n"/>
    </row>
    <row r="662">
      <c r="J662" s="152" t="n"/>
    </row>
    <row r="663">
      <c r="J663" s="152" t="n"/>
    </row>
    <row r="664">
      <c r="J664" s="152" t="n"/>
    </row>
    <row r="665">
      <c r="J665" s="152" t="n"/>
    </row>
    <row r="666">
      <c r="J666" s="152" t="n"/>
    </row>
    <row r="667">
      <c r="J667" s="152" t="n"/>
    </row>
    <row r="668">
      <c r="J668" s="152" t="n"/>
    </row>
    <row r="669">
      <c r="J669" s="152" t="n"/>
    </row>
    <row r="670">
      <c r="J670" s="152" t="n"/>
    </row>
    <row r="671">
      <c r="J671" s="152" t="n"/>
    </row>
    <row r="672">
      <c r="J672" s="152" t="n"/>
    </row>
    <row r="673">
      <c r="J673" s="152" t="n"/>
    </row>
    <row r="674">
      <c r="J674" s="152" t="n"/>
    </row>
    <row r="675">
      <c r="J675" s="152" t="n"/>
    </row>
    <row r="676">
      <c r="J676" s="152" t="n"/>
    </row>
    <row r="677">
      <c r="J677" s="152" t="n"/>
    </row>
    <row r="678">
      <c r="J678" s="152" t="n"/>
    </row>
    <row r="679">
      <c r="J679" s="152" t="n"/>
    </row>
    <row r="680">
      <c r="J680" s="152" t="n"/>
    </row>
    <row r="681">
      <c r="J681" s="152" t="n"/>
    </row>
    <row r="682">
      <c r="J682" s="152" t="n"/>
    </row>
    <row r="683">
      <c r="J683" s="152" t="n"/>
    </row>
    <row r="684">
      <c r="J684" s="152" t="n"/>
    </row>
    <row r="685">
      <c r="J685" s="152" t="n"/>
    </row>
    <row r="686">
      <c r="J686" s="152" t="n"/>
    </row>
    <row r="687">
      <c r="J687" s="152" t="n"/>
    </row>
    <row r="688">
      <c r="J688" s="152" t="n"/>
    </row>
    <row r="689">
      <c r="J689" s="152" t="n"/>
    </row>
    <row r="690">
      <c r="J690" s="152" t="n"/>
    </row>
    <row r="691">
      <c r="J691" s="152" t="n"/>
    </row>
    <row r="692">
      <c r="J692" s="152" t="n"/>
    </row>
    <row r="693">
      <c r="J693" s="152" t="n"/>
    </row>
    <row r="694">
      <c r="J694" s="152" t="n"/>
    </row>
    <row r="695">
      <c r="J695" s="152" t="n"/>
    </row>
    <row r="696">
      <c r="J696" s="152" t="n"/>
    </row>
    <row r="697">
      <c r="J697" s="152" t="n"/>
    </row>
    <row r="698">
      <c r="J698" s="152" t="n"/>
    </row>
    <row r="699">
      <c r="J699" s="152" t="n"/>
    </row>
    <row r="700">
      <c r="J700" s="152" t="n"/>
    </row>
    <row r="701">
      <c r="J701" s="152" t="n"/>
    </row>
    <row r="702">
      <c r="J702" s="152" t="n"/>
    </row>
    <row r="703">
      <c r="J703" s="152" t="n"/>
    </row>
    <row r="704">
      <c r="J704" s="152" t="n"/>
    </row>
    <row r="705">
      <c r="J705" s="152" t="n"/>
    </row>
    <row r="706">
      <c r="J706" s="152" t="n"/>
    </row>
    <row r="707">
      <c r="J707" s="152" t="n"/>
    </row>
    <row r="708">
      <c r="J708" s="152" t="n"/>
    </row>
    <row r="709">
      <c r="J709" s="152" t="n"/>
    </row>
    <row r="710">
      <c r="J710" s="152" t="n"/>
    </row>
    <row r="711">
      <c r="J711" s="152" t="n"/>
    </row>
    <row r="712">
      <c r="J712" s="152" t="n"/>
    </row>
    <row r="713">
      <c r="J713" s="152" t="n"/>
    </row>
    <row r="714">
      <c r="J714" s="152" t="n"/>
    </row>
    <row r="715">
      <c r="J715" s="152" t="n"/>
    </row>
    <row r="716">
      <c r="J716" s="152" t="n"/>
    </row>
    <row r="717">
      <c r="J717" s="152" t="n"/>
    </row>
    <row r="718">
      <c r="J718" s="152" t="n"/>
    </row>
    <row r="719">
      <c r="J719" s="152" t="n"/>
    </row>
    <row r="720">
      <c r="J720" s="152" t="n"/>
    </row>
    <row r="721">
      <c r="J721" s="152" t="n"/>
    </row>
    <row r="722">
      <c r="J722" s="152" t="n"/>
    </row>
    <row r="723">
      <c r="J723" s="152" t="n"/>
    </row>
    <row r="724">
      <c r="J724" s="152" t="n"/>
    </row>
    <row r="725">
      <c r="J725" s="152" t="n"/>
    </row>
    <row r="726">
      <c r="J726" s="152" t="n"/>
    </row>
    <row r="727">
      <c r="J727" s="152" t="n"/>
    </row>
    <row r="728">
      <c r="J728" s="152" t="n"/>
    </row>
    <row r="729">
      <c r="J729" s="152" t="n"/>
    </row>
    <row r="730">
      <c r="J730" s="152" t="n"/>
    </row>
    <row r="731">
      <c r="J731" s="152" t="n"/>
    </row>
    <row r="732">
      <c r="J732" s="152" t="n"/>
    </row>
    <row r="733">
      <c r="J733" s="152" t="n"/>
    </row>
    <row r="734">
      <c r="J734" s="152" t="n"/>
    </row>
    <row r="735">
      <c r="J735" s="152" t="n"/>
    </row>
    <row r="736">
      <c r="J736" s="152" t="n"/>
    </row>
    <row r="737">
      <c r="J737" s="152" t="n"/>
    </row>
    <row r="738">
      <c r="J738" s="152" t="n"/>
    </row>
    <row r="739">
      <c r="J739" s="152" t="n"/>
    </row>
    <row r="740">
      <c r="J740" s="152" t="n"/>
    </row>
    <row r="741">
      <c r="J741" s="152" t="n"/>
    </row>
    <row r="742">
      <c r="J742" s="152" t="n"/>
    </row>
    <row r="743">
      <c r="J743" s="152" t="n"/>
    </row>
    <row r="744">
      <c r="J744" s="152" t="n"/>
    </row>
    <row r="745">
      <c r="J745" s="152" t="n"/>
    </row>
    <row r="746">
      <c r="J746" s="152" t="n"/>
    </row>
    <row r="747">
      <c r="J747" s="152" t="n"/>
    </row>
    <row r="748">
      <c r="J748" s="152" t="n"/>
    </row>
    <row r="749">
      <c r="J749" s="152" t="n"/>
    </row>
    <row r="750">
      <c r="J750" s="152" t="n"/>
    </row>
    <row r="751">
      <c r="J751" s="152" t="n"/>
    </row>
    <row r="752">
      <c r="J752" s="152" t="n"/>
    </row>
    <row r="753">
      <c r="J753" s="152" t="n"/>
    </row>
    <row r="754">
      <c r="J754" s="152" t="n"/>
    </row>
    <row r="755">
      <c r="J755" s="152" t="n"/>
    </row>
    <row r="756">
      <c r="J756" s="152" t="n"/>
    </row>
    <row r="757">
      <c r="J757" s="152" t="n"/>
    </row>
    <row r="758">
      <c r="J758" s="152" t="n"/>
    </row>
    <row r="759">
      <c r="J759" s="152" t="n"/>
    </row>
    <row r="760">
      <c r="J760" s="152" t="n"/>
    </row>
    <row r="761">
      <c r="J761" s="152" t="n"/>
    </row>
    <row r="762">
      <c r="J762" s="152" t="n"/>
    </row>
    <row r="763">
      <c r="J763" s="152" t="n"/>
    </row>
    <row r="764">
      <c r="J764" s="152" t="n"/>
    </row>
    <row r="765">
      <c r="J765" s="152" t="n"/>
    </row>
    <row r="766">
      <c r="J766" s="152" t="n"/>
    </row>
    <row r="767">
      <c r="J767" s="152" t="n"/>
    </row>
    <row r="768">
      <c r="J768" s="152" t="n"/>
    </row>
    <row r="769">
      <c r="J769" s="152" t="n"/>
    </row>
    <row r="770">
      <c r="J770" s="152" t="n"/>
    </row>
    <row r="771">
      <c r="J771" s="152" t="n"/>
    </row>
    <row r="772">
      <c r="J772" s="152" t="n"/>
    </row>
    <row r="773">
      <c r="J773" s="152" t="n"/>
    </row>
    <row r="774">
      <c r="J774" s="152" t="n"/>
    </row>
    <row r="775">
      <c r="J775" s="152" t="n"/>
    </row>
    <row r="776">
      <c r="J776" s="152" t="n"/>
    </row>
    <row r="777">
      <c r="J777" s="152" t="n"/>
    </row>
    <row r="778">
      <c r="J778" s="152" t="n"/>
    </row>
    <row r="779">
      <c r="J779" s="152" t="n"/>
    </row>
    <row r="780">
      <c r="J780" s="152" t="n"/>
    </row>
    <row r="781">
      <c r="J781" s="152" t="n"/>
    </row>
    <row r="782">
      <c r="J782" s="152" t="n"/>
    </row>
    <row r="783">
      <c r="J783" s="152" t="n"/>
    </row>
    <row r="784">
      <c r="J784" s="152" t="n"/>
    </row>
    <row r="785">
      <c r="J785" s="152" t="n"/>
    </row>
    <row r="786">
      <c r="J786" s="152" t="n"/>
    </row>
    <row r="787">
      <c r="J787" s="152" t="n"/>
    </row>
    <row r="788">
      <c r="J788" s="152" t="n"/>
    </row>
    <row r="789">
      <c r="J789" s="152" t="n"/>
    </row>
    <row r="790">
      <c r="J790" s="152" t="n"/>
    </row>
    <row r="791">
      <c r="J791" s="152" t="n"/>
    </row>
    <row r="792">
      <c r="J792" s="152" t="n"/>
    </row>
    <row r="793">
      <c r="J793" s="152" t="n"/>
    </row>
    <row r="794">
      <c r="J794" s="152" t="n"/>
    </row>
    <row r="795">
      <c r="J795" s="152" t="n"/>
    </row>
    <row r="796">
      <c r="J796" s="152" t="n"/>
    </row>
    <row r="797">
      <c r="J797" s="152" t="n"/>
    </row>
    <row r="798">
      <c r="J798" s="152" t="n"/>
    </row>
    <row r="799">
      <c r="J799" s="152" t="n"/>
    </row>
    <row r="800">
      <c r="J800" s="152" t="n"/>
    </row>
    <row r="801">
      <c r="J801" s="152" t="n"/>
    </row>
    <row r="802">
      <c r="J802" s="152" t="n"/>
    </row>
    <row r="803">
      <c r="J803" s="152" t="n"/>
    </row>
    <row r="804">
      <c r="J804" s="152" t="n"/>
    </row>
    <row r="805">
      <c r="J805" s="152" t="n"/>
    </row>
    <row r="806">
      <c r="J806" s="152" t="n"/>
    </row>
    <row r="807">
      <c r="J807" s="152" t="n"/>
    </row>
    <row r="808">
      <c r="J808" s="152" t="n"/>
    </row>
    <row r="809">
      <c r="J809" s="152" t="n"/>
    </row>
    <row r="810">
      <c r="J810" s="152" t="n"/>
    </row>
    <row r="811">
      <c r="J811" s="152" t="n"/>
    </row>
    <row r="812">
      <c r="J812" s="152" t="n"/>
    </row>
    <row r="813">
      <c r="J813" s="152" t="n"/>
    </row>
    <row r="814">
      <c r="J814" s="152" t="n"/>
    </row>
    <row r="815">
      <c r="J815" s="152" t="n"/>
    </row>
    <row r="816">
      <c r="J816" s="152" t="n"/>
    </row>
    <row r="817">
      <c r="J817" s="152" t="n"/>
    </row>
    <row r="818">
      <c r="J818" s="152" t="n"/>
    </row>
    <row r="819">
      <c r="J819" s="152" t="n"/>
    </row>
    <row r="820">
      <c r="J820" s="152" t="n"/>
    </row>
    <row r="821">
      <c r="J821" s="152" t="n"/>
    </row>
    <row r="822">
      <c r="J822" s="152" t="n"/>
    </row>
    <row r="823">
      <c r="J823" s="152" t="n"/>
    </row>
    <row r="824">
      <c r="J824" s="152" t="n"/>
    </row>
    <row r="825">
      <c r="J825" s="152" t="n"/>
    </row>
    <row r="826">
      <c r="J826" s="152" t="n"/>
    </row>
    <row r="827">
      <c r="J827" s="152" t="n"/>
    </row>
    <row r="828">
      <c r="J828" s="152" t="n"/>
    </row>
    <row r="829">
      <c r="J829" s="152" t="n"/>
    </row>
    <row r="830">
      <c r="J830" s="152" t="n"/>
    </row>
    <row r="831">
      <c r="J831" s="152" t="n"/>
    </row>
    <row r="832">
      <c r="J832" s="152" t="n"/>
    </row>
    <row r="833">
      <c r="J833" s="152" t="n"/>
    </row>
    <row r="834">
      <c r="J834" s="152" t="n"/>
    </row>
    <row r="835">
      <c r="J835" s="152" t="n"/>
    </row>
    <row r="836">
      <c r="J836" s="152" t="n"/>
    </row>
    <row r="837">
      <c r="J837" s="152" t="n"/>
    </row>
    <row r="838">
      <c r="J838" s="152" t="n"/>
    </row>
    <row r="839">
      <c r="J839" s="152" t="n"/>
    </row>
    <row r="840">
      <c r="J840" s="152" t="n"/>
    </row>
    <row r="841">
      <c r="J841" s="152" t="n"/>
    </row>
    <row r="842">
      <c r="J842" s="152" t="n"/>
    </row>
    <row r="843">
      <c r="J843" s="152" t="n"/>
    </row>
    <row r="844">
      <c r="J844" s="152" t="n"/>
    </row>
    <row r="845">
      <c r="J845" s="152" t="n"/>
    </row>
    <row r="846">
      <c r="J846" s="152" t="n"/>
    </row>
    <row r="847">
      <c r="J847" s="152" t="n"/>
    </row>
    <row r="848">
      <c r="J848" s="152" t="n"/>
    </row>
    <row r="849">
      <c r="J849" s="152" t="n"/>
    </row>
    <row r="850">
      <c r="J850" s="152" t="n"/>
    </row>
    <row r="851">
      <c r="J851" s="152" t="n"/>
    </row>
    <row r="852">
      <c r="J852" s="152" t="n"/>
    </row>
    <row r="853">
      <c r="J853" s="152" t="n"/>
    </row>
    <row r="854">
      <c r="J854" s="152" t="n"/>
    </row>
    <row r="855">
      <c r="J855" s="152" t="n"/>
    </row>
    <row r="856">
      <c r="J856" s="152" t="n"/>
    </row>
    <row r="857">
      <c r="J857" s="152" t="n"/>
    </row>
    <row r="858">
      <c r="J858" s="152" t="n"/>
    </row>
    <row r="859">
      <c r="J859" s="152" t="n"/>
    </row>
    <row r="860">
      <c r="J860" s="152" t="n"/>
    </row>
    <row r="861">
      <c r="J861" s="152" t="n"/>
    </row>
    <row r="862">
      <c r="J862" s="152" t="n"/>
    </row>
    <row r="863">
      <c r="J863" s="152" t="n"/>
    </row>
    <row r="864">
      <c r="J864" s="152" t="n"/>
    </row>
    <row r="865">
      <c r="J865" s="152" t="n"/>
    </row>
    <row r="866">
      <c r="J866" s="152" t="n"/>
    </row>
    <row r="867">
      <c r="J867" s="152" t="n"/>
    </row>
    <row r="868">
      <c r="J868" s="152" t="n"/>
    </row>
    <row r="869">
      <c r="J869" s="152" t="n"/>
    </row>
    <row r="870">
      <c r="J870" s="152" t="n"/>
    </row>
    <row r="871">
      <c r="J871" s="152" t="n"/>
    </row>
    <row r="872">
      <c r="J872" s="152" t="n"/>
    </row>
    <row r="873">
      <c r="J873" s="152" t="n"/>
    </row>
    <row r="874">
      <c r="J874" s="152" t="n"/>
    </row>
    <row r="875">
      <c r="J875" s="152" t="n"/>
    </row>
    <row r="876">
      <c r="J876" s="152" t="n"/>
    </row>
    <row r="877">
      <c r="J877" s="152" t="n"/>
    </row>
    <row r="878">
      <c r="J878" s="152" t="n"/>
    </row>
    <row r="879">
      <c r="J879" s="152" t="n"/>
    </row>
    <row r="880">
      <c r="J880" s="152" t="n"/>
    </row>
    <row r="881">
      <c r="J881" s="152" t="n"/>
    </row>
    <row r="882">
      <c r="J882" s="152" t="n"/>
    </row>
    <row r="883">
      <c r="J883" s="152" t="n"/>
    </row>
    <row r="884">
      <c r="J884" s="152" t="n"/>
    </row>
    <row r="885">
      <c r="J885" s="152" t="n"/>
    </row>
    <row r="886">
      <c r="J886" s="152" t="n"/>
    </row>
    <row r="887">
      <c r="J887" s="152" t="n"/>
    </row>
    <row r="888">
      <c r="J888" s="152" t="n"/>
    </row>
    <row r="889">
      <c r="J889" s="152" t="n"/>
    </row>
    <row r="890">
      <c r="J890" s="152" t="n"/>
    </row>
    <row r="891">
      <c r="J891" s="152" t="n"/>
    </row>
    <row r="892">
      <c r="J892" s="152" t="n"/>
    </row>
    <row r="893">
      <c r="J893" s="152" t="n"/>
    </row>
    <row r="894">
      <c r="J894" s="152" t="n"/>
    </row>
    <row r="895">
      <c r="J895" s="152" t="n"/>
    </row>
    <row r="896">
      <c r="J896" s="152" t="n"/>
    </row>
    <row r="897">
      <c r="J897" s="152" t="n"/>
    </row>
    <row r="898">
      <c r="J898" s="152" t="n"/>
    </row>
    <row r="899">
      <c r="J899" s="152" t="n"/>
    </row>
    <row r="900">
      <c r="J900" s="152" t="n"/>
    </row>
    <row r="901">
      <c r="J901" s="152" t="n"/>
    </row>
    <row r="902">
      <c r="J902" s="152" t="n"/>
    </row>
    <row r="903">
      <c r="J903" s="152" t="n"/>
    </row>
    <row r="904">
      <c r="J904" s="152" t="n"/>
    </row>
    <row r="905">
      <c r="J905" s="152" t="n"/>
    </row>
    <row r="906">
      <c r="J906" s="152" t="n"/>
    </row>
    <row r="907">
      <c r="J907" s="152" t="n"/>
    </row>
    <row r="908">
      <c r="J908" s="152" t="n"/>
    </row>
    <row r="909">
      <c r="J909" s="152" t="n"/>
    </row>
    <row r="910">
      <c r="J910" s="152" t="n"/>
    </row>
    <row r="911">
      <c r="J911" s="152" t="n"/>
    </row>
    <row r="912">
      <c r="J912" s="152" t="n"/>
    </row>
    <row r="913">
      <c r="J913" s="152" t="n"/>
    </row>
    <row r="914">
      <c r="J914" s="152" t="n"/>
    </row>
    <row r="915">
      <c r="J915" s="152" t="n"/>
    </row>
    <row r="916">
      <c r="J916" s="152" t="n"/>
    </row>
    <row r="917">
      <c r="J917" s="152" t="n"/>
    </row>
    <row r="918">
      <c r="J918" s="152" t="n"/>
    </row>
    <row r="919">
      <c r="J919" s="152" t="n"/>
    </row>
    <row r="920">
      <c r="J920" s="152" t="n"/>
    </row>
    <row r="921">
      <c r="J921" s="152" t="n"/>
    </row>
    <row r="922">
      <c r="J922" s="152" t="n"/>
    </row>
    <row r="923">
      <c r="J923" s="152" t="n"/>
    </row>
    <row r="924">
      <c r="J924" s="152" t="n"/>
    </row>
    <row r="925">
      <c r="J925" s="152" t="n"/>
    </row>
    <row r="926">
      <c r="J926" s="152" t="n"/>
    </row>
    <row r="927">
      <c r="J927" s="152" t="n"/>
    </row>
    <row r="928">
      <c r="J928" s="152" t="n"/>
    </row>
    <row r="929">
      <c r="J929" s="152" t="n"/>
    </row>
    <row r="930">
      <c r="J930" s="152" t="n"/>
    </row>
    <row r="931">
      <c r="J931" s="152" t="n"/>
    </row>
    <row r="932">
      <c r="J932" s="152" t="n"/>
    </row>
    <row r="933">
      <c r="J933" s="152" t="n"/>
    </row>
    <row r="934">
      <c r="J934" s="152" t="n"/>
    </row>
    <row r="935">
      <c r="J935" s="152" t="n"/>
    </row>
    <row r="936">
      <c r="J936" s="152" t="n"/>
    </row>
    <row r="937">
      <c r="J937" s="152" t="n"/>
    </row>
    <row r="938">
      <c r="J938" s="152" t="n"/>
    </row>
    <row r="939">
      <c r="J939" s="152" t="n"/>
    </row>
    <row r="940">
      <c r="J940" s="152" t="n"/>
    </row>
    <row r="941">
      <c r="J941" s="152" t="n"/>
    </row>
    <row r="942">
      <c r="J942" s="152" t="n"/>
    </row>
    <row r="943">
      <c r="J943" s="152" t="n"/>
    </row>
    <row r="944">
      <c r="J944" s="152" t="n"/>
    </row>
    <row r="945">
      <c r="J945" s="152" t="n"/>
    </row>
    <row r="946">
      <c r="J946" s="152" t="n"/>
    </row>
    <row r="947">
      <c r="J947" s="152" t="n"/>
    </row>
    <row r="948">
      <c r="J948" s="152" t="n"/>
    </row>
    <row r="949">
      <c r="J949" s="152" t="n"/>
    </row>
    <row r="950">
      <c r="J950" s="152" t="n"/>
    </row>
    <row r="951">
      <c r="J951" s="152" t="n"/>
    </row>
    <row r="952">
      <c r="J952" s="152" t="n"/>
    </row>
    <row r="953">
      <c r="J953" s="152" t="n"/>
    </row>
    <row r="954">
      <c r="J954" s="152" t="n"/>
    </row>
    <row r="955">
      <c r="J955" s="152" t="n"/>
    </row>
    <row r="956">
      <c r="J956" s="152" t="n"/>
    </row>
    <row r="957">
      <c r="J957" s="152" t="n"/>
    </row>
    <row r="958">
      <c r="J958" s="152" t="n"/>
    </row>
    <row r="959">
      <c r="J959" s="152" t="n"/>
    </row>
    <row r="960">
      <c r="J960" s="152" t="n"/>
    </row>
    <row r="961">
      <c r="J961" s="152" t="n"/>
    </row>
    <row r="962">
      <c r="J962" s="152" t="n"/>
    </row>
    <row r="963">
      <c r="J963" s="152" t="n"/>
    </row>
    <row r="964">
      <c r="J964" s="152" t="n"/>
    </row>
    <row r="965">
      <c r="J965" s="152" t="n"/>
    </row>
    <row r="966">
      <c r="J966" s="152" t="n"/>
    </row>
    <row r="967">
      <c r="J967" s="152" t="n"/>
    </row>
    <row r="968">
      <c r="J968" s="152" t="n"/>
    </row>
    <row r="969">
      <c r="J969" s="152" t="n"/>
    </row>
    <row r="970">
      <c r="J970" s="152" t="n"/>
    </row>
    <row r="971">
      <c r="J971" s="152" t="n"/>
    </row>
    <row r="972">
      <c r="J972" s="152" t="n"/>
    </row>
    <row r="973">
      <c r="J973" s="152" t="n"/>
    </row>
    <row r="974">
      <c r="J974" s="152" t="n"/>
    </row>
    <row r="975">
      <c r="J975" s="152" t="n"/>
    </row>
    <row r="976">
      <c r="J976" s="152" t="n"/>
    </row>
    <row r="977">
      <c r="J977" s="152" t="n"/>
    </row>
    <row r="978">
      <c r="J978" s="152" t="n"/>
    </row>
    <row r="979">
      <c r="J979" s="152" t="n"/>
    </row>
    <row r="980">
      <c r="J980" s="152" t="n"/>
    </row>
    <row r="981">
      <c r="J981" s="152" t="n"/>
    </row>
    <row r="982">
      <c r="J982" s="152" t="n"/>
    </row>
    <row r="983">
      <c r="J983" s="152" t="n"/>
    </row>
    <row r="984">
      <c r="J984" s="152" t="n"/>
    </row>
    <row r="985">
      <c r="J985" s="152" t="n"/>
    </row>
    <row r="986">
      <c r="J986" s="152" t="n"/>
    </row>
    <row r="987">
      <c r="J987" s="152" t="n"/>
    </row>
    <row r="988">
      <c r="J988" s="152" t="n"/>
    </row>
    <row r="989">
      <c r="J989" s="152" t="n"/>
    </row>
    <row r="990">
      <c r="J990" s="152" t="n"/>
    </row>
    <row r="991">
      <c r="J991" s="152" t="n"/>
    </row>
    <row r="992">
      <c r="J992" s="152" t="n"/>
    </row>
    <row r="993">
      <c r="J993" s="152" t="n"/>
    </row>
    <row r="994">
      <c r="J994" s="152" t="n"/>
    </row>
    <row r="995">
      <c r="J995" s="152" t="n"/>
    </row>
    <row r="996">
      <c r="J996" s="152" t="n"/>
    </row>
    <row r="997">
      <c r="J997" s="152" t="n"/>
    </row>
    <row r="998">
      <c r="J998" s="152" t="n"/>
    </row>
    <row r="999">
      <c r="J999" s="152" t="n"/>
    </row>
    <row r="1000">
      <c r="J1000" s="152" t="n"/>
    </row>
  </sheetData>
  <autoFilter ref="$A$3:$K$244"/>
  <mergeCells count="1">
    <mergeCell ref="A2:K2"/>
  </mergeCells>
  <pageMargins left="0.511811024" right="0.511811024" top="0.787401575" bottom="0.787401575" header="0" footer="0"/>
  <pageSetup orientation="landscape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71.67" customWidth="1" style="317" min="1" max="1"/>
    <col width="6.22" customWidth="1" style="317" min="2" max="2"/>
    <col width="12.11" customWidth="1" style="317" min="3" max="3"/>
    <col width="11" customWidth="1" style="317" min="4" max="5"/>
    <col width="14.22" customWidth="1" style="317" min="6" max="6"/>
    <col width="12.44" customWidth="1" style="317" min="7" max="7"/>
    <col width="8" customWidth="1" style="317" min="8" max="8"/>
    <col width="33.44" customWidth="1" style="317" min="9" max="9"/>
    <col width="8.890000000000001" customWidth="1" style="317" min="10" max="26"/>
  </cols>
  <sheetData>
    <row r="1" ht="81.75" customHeight="1" s="317">
      <c r="A1" s="1" t="n"/>
      <c r="B1" s="1" t="n"/>
      <c r="C1" s="1" t="n"/>
      <c r="D1" s="1" t="n"/>
      <c r="E1" s="1" t="n"/>
      <c r="F1" s="1" t="n"/>
      <c r="G1" s="1" t="n"/>
      <c r="H1" s="1" t="n"/>
      <c r="I1" s="103" t="n"/>
    </row>
    <row r="2">
      <c r="A2" s="349" t="inlineStr">
        <is>
          <t>PLANILHA VENDAS LIVRARIA EBP-BA 2025</t>
        </is>
      </c>
    </row>
    <row r="3">
      <c r="A3" s="104" t="inlineStr">
        <is>
          <t>PRODUTO / LIVRO / REVISTA</t>
        </is>
      </c>
      <c r="B3" s="104" t="inlineStr">
        <is>
          <t>QTD</t>
        </is>
      </c>
      <c r="C3" s="104" t="inlineStr">
        <is>
          <t>VALOR UNT</t>
        </is>
      </c>
      <c r="D3" s="104" t="inlineStr">
        <is>
          <t>SUBTOTAL</t>
        </is>
      </c>
      <c r="E3" s="104" t="inlineStr">
        <is>
          <t>VALOR FRETE</t>
        </is>
      </c>
      <c r="F3" s="104" t="inlineStr">
        <is>
          <t>VALOR TOTAL</t>
        </is>
      </c>
      <c r="G3" s="105" t="inlineStr">
        <is>
          <t>DATA VENDA</t>
        </is>
      </c>
      <c r="H3" s="105" t="inlineStr">
        <is>
          <t>FORMA PGTO</t>
        </is>
      </c>
      <c r="I3" s="106" t="n"/>
    </row>
    <row r="4" ht="15.75" customHeight="1" s="317">
      <c r="A4" s="66" t="inlineStr">
        <is>
          <t>As Paixões do Parlêtre</t>
        </is>
      </c>
      <c r="B4" s="108" t="n">
        <v>1</v>
      </c>
      <c r="C4" s="68" t="n">
        <v>90</v>
      </c>
      <c r="D4" s="68">
        <f>B4*C4</f>
        <v/>
      </c>
      <c r="E4" s="68" t="n"/>
      <c r="F4" s="110">
        <f>D4+E4</f>
        <v/>
      </c>
      <c r="G4" s="70" t="n">
        <v>45674</v>
      </c>
      <c r="H4" s="79" t="inlineStr">
        <is>
          <t>PIX</t>
        </is>
      </c>
      <c r="I4" s="112" t="n"/>
    </row>
    <row r="5">
      <c r="A5" s="236" t="inlineStr">
        <is>
          <t>Memórias, Linguagem e Mente</t>
        </is>
      </c>
      <c r="B5" s="79" t="n">
        <v>1</v>
      </c>
      <c r="C5" s="68" t="n">
        <v>75</v>
      </c>
      <c r="D5" s="68">
        <f>B5*C5</f>
        <v/>
      </c>
      <c r="E5" s="76" t="n"/>
      <c r="F5" s="156">
        <f>D5+E5</f>
        <v/>
      </c>
      <c r="G5" s="70" t="n">
        <v>45695</v>
      </c>
      <c r="H5" s="79" t="inlineStr">
        <is>
          <t>PIX</t>
        </is>
      </c>
      <c r="I5" s="112" t="n"/>
    </row>
    <row r="6">
      <c r="A6" s="236" t="inlineStr">
        <is>
          <t>O Campo Uniano</t>
        </is>
      </c>
      <c r="B6" s="79" t="n">
        <v>1</v>
      </c>
      <c r="C6" s="68" t="n">
        <v>120</v>
      </c>
      <c r="D6" s="68">
        <f>B6*C6</f>
        <v/>
      </c>
      <c r="E6" s="76" t="n"/>
      <c r="F6" s="110">
        <f>D6+E6</f>
        <v/>
      </c>
      <c r="G6" s="70" t="n">
        <v>45727</v>
      </c>
      <c r="H6" s="79" t="inlineStr">
        <is>
          <t>PIX</t>
        </is>
      </c>
      <c r="I6" s="115" t="n"/>
    </row>
    <row r="7">
      <c r="A7" s="236" t="inlineStr">
        <is>
          <t>A Função do Pai na Psicanálise</t>
        </is>
      </c>
      <c r="B7" s="79" t="n">
        <v>1</v>
      </c>
      <c r="C7" s="68" t="n">
        <v>60</v>
      </c>
      <c r="D7" s="68">
        <f>B7*C7</f>
        <v/>
      </c>
      <c r="E7" s="76" t="n"/>
      <c r="F7" s="110">
        <f>D7+E7</f>
        <v/>
      </c>
      <c r="G7" s="70" t="n">
        <v>45733</v>
      </c>
      <c r="H7" s="79" t="inlineStr">
        <is>
          <t>PIX</t>
        </is>
      </c>
      <c r="I7" s="118" t="n"/>
    </row>
    <row r="8">
      <c r="A8" s="236" t="inlineStr">
        <is>
          <t>Nieves Soria Dafunchio</t>
        </is>
      </c>
      <c r="B8" s="79" t="n">
        <v>1</v>
      </c>
      <c r="C8" s="68" t="n">
        <v>20</v>
      </c>
      <c r="D8" s="68">
        <f>B8*C8</f>
        <v/>
      </c>
      <c r="E8" s="76" t="n"/>
      <c r="F8" s="110">
        <f>D8+E8</f>
        <v/>
      </c>
      <c r="G8" s="70" t="n">
        <v>45733</v>
      </c>
      <c r="H8" s="79" t="inlineStr">
        <is>
          <t>PIX</t>
        </is>
      </c>
      <c r="I8" s="118" t="n"/>
    </row>
    <row r="9">
      <c r="A9" s="236" t="inlineStr">
        <is>
          <t>Felicidade e Sintoma</t>
        </is>
      </c>
      <c r="B9" s="79" t="n">
        <v>1</v>
      </c>
      <c r="C9" s="68" t="n">
        <v>42</v>
      </c>
      <c r="D9" s="68">
        <f>B9*C9</f>
        <v/>
      </c>
      <c r="E9" s="76" t="n"/>
      <c r="F9" s="110">
        <f>D9+E9</f>
        <v/>
      </c>
      <c r="G9" s="70" t="n">
        <v>45733</v>
      </c>
      <c r="H9" s="79" t="inlineStr">
        <is>
          <t>PIX</t>
        </is>
      </c>
      <c r="I9" s="118" t="n"/>
    </row>
    <row r="10">
      <c r="A10" s="236" t="inlineStr">
        <is>
          <t>Anorexia - Bulimia  Desejo de Nada</t>
        </is>
      </c>
      <c r="B10" s="79" t="n">
        <v>1</v>
      </c>
      <c r="C10" s="68" t="n">
        <v>50</v>
      </c>
      <c r="D10" s="68">
        <f>B10*C10</f>
        <v/>
      </c>
      <c r="E10" s="76" t="n"/>
      <c r="F10" s="110">
        <f>D10+E10</f>
        <v/>
      </c>
      <c r="G10" s="70" t="n">
        <v>45733</v>
      </c>
      <c r="H10" s="79" t="inlineStr">
        <is>
          <t>PIX</t>
        </is>
      </c>
      <c r="I10" s="118" t="n"/>
    </row>
    <row r="11">
      <c r="A11" s="139" t="inlineStr">
        <is>
          <t xml:space="preserve">Clínica do Excesso Derivas pulsionais e soluções sintomáticas na psicopatologia conteporânea  </t>
        </is>
      </c>
      <c r="B11" s="79" t="n">
        <v>5</v>
      </c>
      <c r="C11" s="68" t="n">
        <v>120</v>
      </c>
      <c r="D11" s="68">
        <f>B11*C11</f>
        <v/>
      </c>
      <c r="E11" s="76" t="n"/>
      <c r="F11" s="110">
        <f>D11+E11</f>
        <v/>
      </c>
      <c r="G11" s="70" t="n">
        <v>45735</v>
      </c>
      <c r="H11" s="165" t="inlineStr">
        <is>
          <t>PIX</t>
        </is>
      </c>
      <c r="I11" s="118" t="n"/>
    </row>
    <row r="12">
      <c r="A12" s="139" t="inlineStr">
        <is>
          <t xml:space="preserve">Clínica do Excesso Derivas pulsionais e soluções sintomáticas na psicopatologia conteporânea  </t>
        </is>
      </c>
      <c r="B12" s="79" t="n">
        <v>1</v>
      </c>
      <c r="C12" s="68" t="n"/>
      <c r="D12" s="68">
        <f>B12*C12</f>
        <v/>
      </c>
      <c r="E12" s="76" t="n"/>
      <c r="F12" s="110">
        <f>D12+E12</f>
        <v/>
      </c>
      <c r="G12" s="91" t="n">
        <v>45736</v>
      </c>
      <c r="H12" s="94" t="n"/>
      <c r="I12" s="157" t="n"/>
    </row>
    <row r="13">
      <c r="A13" s="236" t="inlineStr">
        <is>
          <t xml:space="preserve">IPB - Seminários | Nieves Soria Dafunchio | Clinica da Sexuação </t>
        </is>
      </c>
      <c r="B13" s="79" t="n">
        <v>1</v>
      </c>
      <c r="C13" s="68" t="n">
        <v>20</v>
      </c>
      <c r="D13" s="68">
        <f>B13*C13</f>
        <v/>
      </c>
      <c r="E13" s="76" t="n"/>
      <c r="F13" s="110">
        <f>D13+E13</f>
        <v/>
      </c>
      <c r="G13" s="70" t="n">
        <v>45747</v>
      </c>
      <c r="H13" s="165" t="n"/>
      <c r="I13" s="118" t="n"/>
    </row>
    <row r="14">
      <c r="A14" s="236" t="inlineStr">
        <is>
          <t>O Campo Uniano</t>
        </is>
      </c>
      <c r="B14" s="79" t="n">
        <v>1</v>
      </c>
      <c r="C14" s="68" t="n"/>
      <c r="D14" s="68">
        <f>B14*C14</f>
        <v/>
      </c>
      <c r="E14" s="76" t="n"/>
      <c r="F14" s="110">
        <f>D14+E14</f>
        <v/>
      </c>
      <c r="G14" s="70" t="n">
        <v>45747</v>
      </c>
      <c r="H14" s="165" t="n"/>
      <c r="I14" s="158" t="n"/>
    </row>
    <row r="15">
      <c r="A15" s="236" t="inlineStr">
        <is>
          <t>A Função do Pai na Psicanálise</t>
        </is>
      </c>
      <c r="B15" s="79" t="n">
        <v>1</v>
      </c>
      <c r="C15" s="68" t="n">
        <v>60</v>
      </c>
      <c r="D15" s="68">
        <f>B15*C15</f>
        <v/>
      </c>
      <c r="E15" s="76" t="n"/>
      <c r="F15" s="110">
        <f>D15+E15</f>
        <v/>
      </c>
      <c r="G15" s="70" t="n">
        <v>45749</v>
      </c>
      <c r="H15" s="165" t="n"/>
      <c r="I15" s="118" t="n"/>
    </row>
    <row r="16">
      <c r="A16" s="236" t="inlineStr">
        <is>
          <t>El reverso</t>
        </is>
      </c>
      <c r="B16" s="79" t="n">
        <v>1</v>
      </c>
      <c r="C16" s="68" t="n">
        <v>90</v>
      </c>
      <c r="D16" s="68">
        <f>B16*C16</f>
        <v/>
      </c>
      <c r="E16" s="76" t="n"/>
      <c r="F16" s="110">
        <f>D16+E16</f>
        <v/>
      </c>
      <c r="G16" s="70" t="n">
        <v>45749</v>
      </c>
      <c r="H16" s="79" t="n"/>
      <c r="I16" s="118" t="n"/>
    </row>
    <row r="17">
      <c r="A17" s="236" t="inlineStr">
        <is>
          <t>Princípios de Uma psicoterapia de la psicose</t>
        </is>
      </c>
      <c r="B17" s="79" t="n">
        <v>1</v>
      </c>
      <c r="C17" s="68" t="n"/>
      <c r="D17" s="68" t="n"/>
      <c r="E17" s="76" t="n"/>
      <c r="F17" s="110" t="n"/>
      <c r="G17" s="70" t="n">
        <v>45751</v>
      </c>
      <c r="H17" s="79" t="n"/>
      <c r="I17" s="158" t="n"/>
    </row>
    <row r="18">
      <c r="A18" s="236" t="inlineStr">
        <is>
          <t>Princípios de Uma psicoterapia de la psicose</t>
        </is>
      </c>
      <c r="B18" s="79" t="n">
        <v>1</v>
      </c>
      <c r="C18" s="68" t="n">
        <v>170</v>
      </c>
      <c r="D18" s="68">
        <f>B18*C18</f>
        <v/>
      </c>
      <c r="E18" s="76" t="n"/>
      <c r="F18" s="110">
        <f>D18+E18</f>
        <v/>
      </c>
      <c r="G18" s="70" t="n">
        <v>45751</v>
      </c>
      <c r="H18" s="79" t="n"/>
      <c r="I18" s="118" t="n"/>
    </row>
    <row r="19">
      <c r="A19" s="236" t="inlineStr">
        <is>
          <t>Princípios de Uma psicoterapia de la psicose</t>
        </is>
      </c>
      <c r="B19" s="79" t="n">
        <v>1</v>
      </c>
      <c r="C19" s="68" t="n">
        <v>170</v>
      </c>
      <c r="D19" s="68">
        <f>B19*C19</f>
        <v/>
      </c>
      <c r="E19" s="76" t="n"/>
      <c r="F19" s="110">
        <f>D19+E19</f>
        <v/>
      </c>
      <c r="G19" s="70" t="n">
        <v>45755</v>
      </c>
      <c r="H19" s="79" t="n"/>
      <c r="I19" s="118" t="n"/>
    </row>
    <row r="20">
      <c r="A20" s="236" t="inlineStr">
        <is>
          <t>Princípios de Uma psicoterapia de la psicose</t>
        </is>
      </c>
      <c r="B20" s="79" t="n">
        <v>1</v>
      </c>
      <c r="C20" s="68" t="n">
        <v>170</v>
      </c>
      <c r="D20" s="68">
        <f>B20*C20</f>
        <v/>
      </c>
      <c r="E20" s="76" t="n"/>
      <c r="F20" s="110">
        <f>D20+E20</f>
        <v/>
      </c>
      <c r="G20" s="70" t="n">
        <v>45756</v>
      </c>
      <c r="H20" s="79" t="n"/>
      <c r="I20" s="118" t="n"/>
    </row>
    <row r="21">
      <c r="A21" s="236" t="inlineStr">
        <is>
          <t>Princípios de Uma psicoterapia de la psicose</t>
        </is>
      </c>
      <c r="B21" s="79" t="n">
        <v>1</v>
      </c>
      <c r="C21" s="68" t="n">
        <v>170</v>
      </c>
      <c r="D21" s="68">
        <f>B21*C21</f>
        <v/>
      </c>
      <c r="E21" s="76" t="n"/>
      <c r="F21" s="110">
        <f>D21</f>
        <v/>
      </c>
      <c r="G21" s="70" t="n">
        <v>45756</v>
      </c>
      <c r="H21" s="79" t="n"/>
      <c r="I21" s="118" t="n"/>
    </row>
    <row r="22">
      <c r="A22" s="236" t="inlineStr">
        <is>
          <t>Princípios de Uma psicoterapia de la psicose</t>
        </is>
      </c>
      <c r="B22" s="79" t="n">
        <v>1</v>
      </c>
      <c r="C22" s="68" t="n">
        <v>170</v>
      </c>
      <c r="D22" s="68">
        <f>B22*C22</f>
        <v/>
      </c>
      <c r="E22" s="76" t="n"/>
      <c r="F22" s="110">
        <f>D22+E22</f>
        <v/>
      </c>
      <c r="G22" s="70" t="n">
        <v>45756</v>
      </c>
      <c r="H22" s="79" t="n"/>
      <c r="I22" s="118" t="n"/>
    </row>
    <row r="23">
      <c r="A23" s="236" t="inlineStr">
        <is>
          <t>Princípios de Uma psicoterapia de la psicose</t>
        </is>
      </c>
      <c r="B23" s="79" t="n">
        <v>1</v>
      </c>
      <c r="C23" s="68" t="n">
        <v>170</v>
      </c>
      <c r="D23" s="68">
        <f>B23*C23</f>
        <v/>
      </c>
      <c r="E23" s="76" t="n"/>
      <c r="F23" s="110">
        <f>D23+E23</f>
        <v/>
      </c>
      <c r="G23" s="70" t="n">
        <v>45756</v>
      </c>
      <c r="H23" s="79" t="n"/>
      <c r="I23" s="118" t="n"/>
    </row>
    <row r="24">
      <c r="A24" s="236" t="inlineStr">
        <is>
          <t>Princípios de Uma psicoterapia de la psicose</t>
        </is>
      </c>
      <c r="B24" s="79" t="n">
        <v>1</v>
      </c>
      <c r="C24" s="68" t="n">
        <v>170</v>
      </c>
      <c r="D24" s="68">
        <f>B24*C24</f>
        <v/>
      </c>
      <c r="E24" s="76" t="n"/>
      <c r="F24" s="110">
        <f>D24+E24</f>
        <v/>
      </c>
      <c r="G24" s="70" t="n">
        <v>45756</v>
      </c>
      <c r="H24" s="79" t="n"/>
      <c r="I24" s="118" t="n"/>
    </row>
    <row r="25">
      <c r="A25" s="236" t="inlineStr">
        <is>
          <t>As Paixões do Parlêtre   (Consigançaõ)</t>
        </is>
      </c>
      <c r="B25" s="79" t="n">
        <v>2</v>
      </c>
      <c r="C25" s="110" t="n">
        <v>70</v>
      </c>
      <c r="D25" s="68" t="n">
        <v>70</v>
      </c>
      <c r="E25" s="76" t="n"/>
      <c r="F25" s="110">
        <f>B25*D25</f>
        <v/>
      </c>
      <c r="G25" s="70" t="n">
        <v>45757</v>
      </c>
      <c r="H25" s="79" t="n"/>
      <c r="I25" s="118" t="n"/>
    </row>
    <row r="26">
      <c r="A26" s="236" t="inlineStr">
        <is>
          <t>Agente 16</t>
        </is>
      </c>
      <c r="B26" s="79" t="n">
        <v>1</v>
      </c>
      <c r="C26" s="110" t="n">
        <v>20</v>
      </c>
      <c r="D26" s="68">
        <f>B26*C26</f>
        <v/>
      </c>
      <c r="E26" s="76" t="n">
        <v>15</v>
      </c>
      <c r="F26" s="110">
        <f>D26+E26</f>
        <v/>
      </c>
      <c r="G26" s="70" t="n">
        <v>45757</v>
      </c>
      <c r="H26" s="79" t="n"/>
      <c r="I26" s="118" t="n"/>
    </row>
    <row r="27">
      <c r="A27" s="236" t="inlineStr">
        <is>
          <t>Princípios de Uma psicoterapia de la psicose</t>
        </is>
      </c>
      <c r="B27" s="79" t="n">
        <v>1</v>
      </c>
      <c r="C27" s="110" t="n">
        <v>170</v>
      </c>
      <c r="D27" s="68">
        <f>B27*C27</f>
        <v/>
      </c>
      <c r="E27" s="76" t="n">
        <v>15</v>
      </c>
      <c r="F27" s="110">
        <f>D27+E27</f>
        <v/>
      </c>
      <c r="G27" s="70" t="n">
        <v>45758</v>
      </c>
      <c r="H27" s="79" t="n"/>
      <c r="I27" s="118" t="n"/>
    </row>
    <row r="28">
      <c r="A28" s="236" t="inlineStr">
        <is>
          <t>El Padre em Cuestión</t>
        </is>
      </c>
      <c r="B28" s="79" t="n">
        <v>1</v>
      </c>
      <c r="C28" s="110" t="n">
        <v>90</v>
      </c>
      <c r="D28" s="68">
        <f>B28*C28</f>
        <v/>
      </c>
      <c r="E28" s="76" t="n"/>
      <c r="F28" s="110">
        <f>D28+E28</f>
        <v/>
      </c>
      <c r="G28" s="70" t="n">
        <v>45758</v>
      </c>
      <c r="H28" s="79" t="n"/>
      <c r="I28" s="118" t="n"/>
    </row>
    <row r="29">
      <c r="A29" s="236" t="inlineStr">
        <is>
          <t>Felicidade e Sintoma</t>
        </is>
      </c>
      <c r="B29" s="79" t="n">
        <v>1</v>
      </c>
      <c r="C29" s="110" t="n">
        <v>50</v>
      </c>
      <c r="D29" s="68">
        <f>B29*C29</f>
        <v/>
      </c>
      <c r="E29" s="76" t="n"/>
      <c r="F29" s="110">
        <f>D29+E29</f>
        <v/>
      </c>
      <c r="G29" s="70" t="n">
        <v>45761</v>
      </c>
      <c r="H29" s="79" t="n"/>
      <c r="I29" s="118" t="n"/>
    </row>
    <row r="30">
      <c r="A30" s="236" t="inlineStr">
        <is>
          <t>Felicidade e Sintoma</t>
        </is>
      </c>
      <c r="B30" s="79" t="n">
        <v>1</v>
      </c>
      <c r="C30" s="110" t="n">
        <v>50</v>
      </c>
      <c r="D30" s="68">
        <f>B30*C30</f>
        <v/>
      </c>
      <c r="E30" s="76" t="n"/>
      <c r="F30" s="110">
        <f>D30+E30</f>
        <v/>
      </c>
      <c r="G30" s="70" t="n">
        <v>45761</v>
      </c>
      <c r="H30" s="93" t="n"/>
      <c r="I30" s="125" t="n"/>
    </row>
    <row r="31">
      <c r="A31" s="236" t="inlineStr">
        <is>
          <t>Felicidade e Sintoma</t>
        </is>
      </c>
      <c r="B31" s="79" t="n">
        <v>1</v>
      </c>
      <c r="C31" s="110" t="n">
        <v>50</v>
      </c>
      <c r="D31" s="68">
        <f>B31*C31</f>
        <v/>
      </c>
      <c r="E31" s="76" t="n"/>
      <c r="F31" s="110">
        <f>D31+E31</f>
        <v/>
      </c>
      <c r="G31" s="70" t="n">
        <v>45761</v>
      </c>
      <c r="H31" s="79" t="n"/>
      <c r="I31" s="118" t="n"/>
    </row>
    <row r="32">
      <c r="A32" s="236" t="inlineStr">
        <is>
          <t>Felicidade e Sintoma</t>
        </is>
      </c>
      <c r="B32" s="79" t="n">
        <v>10</v>
      </c>
      <c r="C32" s="110" t="n">
        <v>50</v>
      </c>
      <c r="D32" s="68">
        <f>B32*C32</f>
        <v/>
      </c>
      <c r="E32" s="76" t="n"/>
      <c r="F32" s="110">
        <f>D32+E32</f>
        <v/>
      </c>
      <c r="G32" s="70" t="n">
        <v>45761</v>
      </c>
      <c r="H32" s="79" t="n"/>
      <c r="I32" s="118" t="n"/>
    </row>
    <row r="33">
      <c r="A33" s="236" t="inlineStr">
        <is>
          <t>Felicidade e Sintoma</t>
        </is>
      </c>
      <c r="B33" s="79" t="n">
        <v>1</v>
      </c>
      <c r="C33" s="110" t="n">
        <v>50</v>
      </c>
      <c r="D33" s="68">
        <f>B33*C33</f>
        <v/>
      </c>
      <c r="E33" s="76" t="n"/>
      <c r="F33" s="110">
        <f>D33+E33</f>
        <v/>
      </c>
      <c r="G33" s="70" t="n">
        <v>45761</v>
      </c>
      <c r="H33" s="79" t="n"/>
      <c r="I33" s="118" t="n"/>
    </row>
    <row r="34">
      <c r="A34" s="236" t="inlineStr">
        <is>
          <t>Felicidade e Sintoma</t>
        </is>
      </c>
      <c r="B34" s="79" t="n">
        <v>1</v>
      </c>
      <c r="C34" s="110" t="n">
        <v>50</v>
      </c>
      <c r="D34" s="68">
        <f>B34*C34</f>
        <v/>
      </c>
      <c r="E34" s="76" t="n"/>
      <c r="F34" s="110">
        <f>D34+E34</f>
        <v/>
      </c>
      <c r="G34" s="70" t="n">
        <v>45761</v>
      </c>
      <c r="H34" s="79" t="n"/>
      <c r="I34" s="118" t="n"/>
    </row>
    <row r="35">
      <c r="A35" s="236" t="inlineStr">
        <is>
          <t>Felicidade e Sintoma</t>
        </is>
      </c>
      <c r="B35" s="79" t="n">
        <v>1</v>
      </c>
      <c r="C35" s="110" t="n">
        <v>50</v>
      </c>
      <c r="D35" s="68">
        <f>B35*C35</f>
        <v/>
      </c>
      <c r="E35" s="76" t="n"/>
      <c r="F35" s="110">
        <f>D35+E35</f>
        <v/>
      </c>
      <c r="G35" s="70" t="n">
        <v>45761</v>
      </c>
      <c r="H35" s="79" t="n"/>
      <c r="I35" s="118" t="n"/>
    </row>
    <row r="36">
      <c r="A36" s="236" t="inlineStr">
        <is>
          <t>Felicidade e Sintoma</t>
        </is>
      </c>
      <c r="B36" s="79" t="n">
        <v>1</v>
      </c>
      <c r="C36" s="110" t="n">
        <v>50</v>
      </c>
      <c r="D36" s="68">
        <f>B36*C36</f>
        <v/>
      </c>
      <c r="E36" s="76" t="n"/>
      <c r="F36" s="110">
        <f>D36+E36</f>
        <v/>
      </c>
      <c r="G36" s="70" t="n">
        <v>45761</v>
      </c>
      <c r="H36" s="79" t="n"/>
      <c r="I36" s="118" t="n"/>
    </row>
    <row r="37">
      <c r="A37" s="236" t="inlineStr">
        <is>
          <t>Felicidade e Sintoma</t>
        </is>
      </c>
      <c r="B37" s="79" t="n">
        <v>1</v>
      </c>
      <c r="C37" s="110" t="n">
        <v>50</v>
      </c>
      <c r="D37" s="68">
        <f>B37*C37</f>
        <v/>
      </c>
      <c r="E37" s="76" t="n"/>
      <c r="F37" s="110">
        <f>D37+E37</f>
        <v/>
      </c>
      <c r="G37" s="70" t="n">
        <v>45761</v>
      </c>
      <c r="H37" s="79" t="n"/>
      <c r="I37" s="118" t="n"/>
    </row>
    <row r="38">
      <c r="A38" s="236" t="inlineStr">
        <is>
          <t>Felicidade e Sintoma</t>
        </is>
      </c>
      <c r="B38" s="79" t="n">
        <v>1</v>
      </c>
      <c r="C38" s="110" t="n">
        <v>50</v>
      </c>
      <c r="D38" s="68">
        <f>B38*C38</f>
        <v/>
      </c>
      <c r="E38" s="76" t="n"/>
      <c r="F38" s="110">
        <f>D38+E38</f>
        <v/>
      </c>
      <c r="G38" s="70" t="n">
        <v>45761</v>
      </c>
      <c r="H38" s="79" t="n"/>
      <c r="I38" s="118" t="n"/>
    </row>
    <row r="39">
      <c r="A39" s="236" t="inlineStr">
        <is>
          <t>Felicidade e Sintoma</t>
        </is>
      </c>
      <c r="B39" s="79" t="n">
        <v>1</v>
      </c>
      <c r="C39" s="110" t="n">
        <v>50</v>
      </c>
      <c r="D39" s="68">
        <f>B39*C39</f>
        <v/>
      </c>
      <c r="E39" s="76" t="n"/>
      <c r="F39" s="110">
        <f>D39+E39</f>
        <v/>
      </c>
      <c r="G39" s="70" t="n">
        <v>45761</v>
      </c>
      <c r="H39" s="79" t="n"/>
      <c r="I39" s="118" t="n"/>
    </row>
    <row r="40">
      <c r="A40" s="236" t="inlineStr">
        <is>
          <t>A Função do Pai na Psicanálise</t>
        </is>
      </c>
      <c r="B40" s="79" t="n">
        <v>1</v>
      </c>
      <c r="C40" s="110" t="n">
        <v>60</v>
      </c>
      <c r="D40" s="68">
        <f>B40*C40</f>
        <v/>
      </c>
      <c r="E40" s="76" t="n"/>
      <c r="F40" s="110">
        <f>D40+E40</f>
        <v/>
      </c>
      <c r="G40" s="70" t="n">
        <v>45761</v>
      </c>
      <c r="H40" s="79" t="n"/>
      <c r="I40" s="118" t="n"/>
    </row>
    <row r="41">
      <c r="A41" s="236" t="inlineStr">
        <is>
          <t xml:space="preserve">Agente 21   </t>
        </is>
      </c>
      <c r="B41" s="79" t="n">
        <v>1</v>
      </c>
      <c r="C41" s="68" t="n">
        <v>70</v>
      </c>
      <c r="D41" s="68">
        <f>B41*C41</f>
        <v/>
      </c>
      <c r="E41" s="76" t="n"/>
      <c r="F41" s="110">
        <f>D41+E41</f>
        <v/>
      </c>
      <c r="G41" s="70" t="n">
        <v>45761</v>
      </c>
      <c r="H41" s="79" t="n"/>
      <c r="I41" s="118" t="n"/>
    </row>
    <row r="42">
      <c r="A42" s="236" t="inlineStr">
        <is>
          <t>Princípios de Uma psicoterapia de la psicose</t>
        </is>
      </c>
      <c r="B42" s="79" t="n">
        <v>1</v>
      </c>
      <c r="C42" s="68" t="n">
        <v>170</v>
      </c>
      <c r="D42" s="68">
        <f>B42*C42</f>
        <v/>
      </c>
      <c r="E42" s="76" t="n"/>
      <c r="F42" s="110">
        <f>D42+E42</f>
        <v/>
      </c>
      <c r="G42" s="70" t="n">
        <v>45763</v>
      </c>
      <c r="H42" s="79" t="n"/>
      <c r="I42" s="118" t="n"/>
    </row>
    <row r="43">
      <c r="A43" s="236" t="inlineStr">
        <is>
          <t>Seminário / Nieves Soria Defunchio</t>
        </is>
      </c>
      <c r="B43" s="79" t="n">
        <v>1</v>
      </c>
      <c r="C43" s="68" t="n">
        <v>20</v>
      </c>
      <c r="D43" s="68">
        <f>B43*C43</f>
        <v/>
      </c>
      <c r="E43" s="76" t="n">
        <v>15</v>
      </c>
      <c r="F43" s="110">
        <f>D43+E43</f>
        <v/>
      </c>
      <c r="G43" s="70" t="n">
        <v>45770</v>
      </c>
      <c r="H43" s="79" t="n"/>
      <c r="I43" s="118" t="n"/>
    </row>
    <row r="44">
      <c r="A44" s="236" t="inlineStr">
        <is>
          <t>As paixões do Parlêtre</t>
        </is>
      </c>
      <c r="B44" s="79" t="n">
        <v>1</v>
      </c>
      <c r="C44" s="68" t="n">
        <v>100</v>
      </c>
      <c r="D44" s="68">
        <f>B44*C44</f>
        <v/>
      </c>
      <c r="E44" s="117" t="n"/>
      <c r="F44" s="110">
        <f>D44+E44</f>
        <v/>
      </c>
      <c r="G44" s="83" t="n">
        <v>45776</v>
      </c>
      <c r="H44" s="86" t="n"/>
      <c r="I44" s="136" t="n"/>
    </row>
    <row r="45">
      <c r="A45" s="236" t="inlineStr">
        <is>
          <t>Revista Agente 21</t>
        </is>
      </c>
      <c r="B45" s="79" t="n">
        <v>2</v>
      </c>
      <c r="C45" s="171" t="inlineStr">
        <is>
          <t>Doação</t>
        </is>
      </c>
      <c r="D45" s="68" t="n"/>
      <c r="E45" s="117" t="n"/>
      <c r="F45" s="110">
        <f>D45+E45</f>
        <v/>
      </c>
      <c r="G45" s="91" t="n"/>
      <c r="H45" s="86" t="n"/>
      <c r="I45" s="157" t="n"/>
    </row>
    <row r="46">
      <c r="A46" s="236" t="inlineStr">
        <is>
          <t>A Construção da Realidade Segundo a Psicanálise (Consignado)</t>
        </is>
      </c>
      <c r="B46" s="79" t="n">
        <v>1</v>
      </c>
      <c r="C46" s="68" t="n">
        <v>60</v>
      </c>
      <c r="D46" s="68">
        <f>B46*C46</f>
        <v/>
      </c>
      <c r="E46" s="117" t="n"/>
      <c r="F46" s="110">
        <f>D46+E46</f>
        <v/>
      </c>
      <c r="G46" s="91" t="n">
        <v>45785</v>
      </c>
      <c r="H46" s="86" t="n"/>
      <c r="I46" s="125" t="n"/>
    </row>
    <row r="47">
      <c r="A47" s="236" t="inlineStr">
        <is>
          <t>El reverso la biopolítica</t>
        </is>
      </c>
      <c r="B47" s="79" t="n">
        <v>1</v>
      </c>
      <c r="C47" s="68" t="n">
        <v>80</v>
      </c>
      <c r="D47" s="68">
        <f>B47*C47</f>
        <v/>
      </c>
      <c r="E47" s="117" t="n"/>
      <c r="F47" s="110">
        <f>D47+E47</f>
        <v/>
      </c>
      <c r="G47" s="91" t="n">
        <v>45785</v>
      </c>
      <c r="H47" s="86" t="n"/>
      <c r="I47" s="125" t="n"/>
    </row>
    <row r="48">
      <c r="A48" s="236" t="inlineStr">
        <is>
          <t>Ruidos e Silêncio</t>
        </is>
      </c>
      <c r="B48" s="79" t="n">
        <v>1</v>
      </c>
      <c r="C48" s="68" t="n">
        <v>60</v>
      </c>
      <c r="D48" s="68">
        <f>B48*C48</f>
        <v/>
      </c>
      <c r="E48" s="76" t="n"/>
      <c r="F48" s="110">
        <f>D48+E48</f>
        <v/>
      </c>
      <c r="G48" s="70" t="n">
        <v>45785</v>
      </c>
      <c r="H48" s="86" t="n"/>
      <c r="I48" s="118" t="n"/>
    </row>
    <row r="49">
      <c r="A49" s="236" t="inlineStr">
        <is>
          <t>Felicidade e Sintoma</t>
        </is>
      </c>
      <c r="B49" s="79" t="n">
        <v>1</v>
      </c>
      <c r="C49" s="68" t="n">
        <v>40</v>
      </c>
      <c r="D49" s="68">
        <f>B49*C49</f>
        <v/>
      </c>
      <c r="E49" s="76" t="n"/>
      <c r="F49" s="110">
        <f>D49+E49</f>
        <v/>
      </c>
      <c r="G49" s="70" t="n">
        <v>45786</v>
      </c>
      <c r="H49" s="86" t="n"/>
      <c r="I49" s="118" t="n"/>
    </row>
    <row r="50">
      <c r="A50" s="236" t="inlineStr">
        <is>
          <t>Ruidos e Silêncio</t>
        </is>
      </c>
      <c r="B50" s="79" t="n">
        <v>1</v>
      </c>
      <c r="C50" s="68" t="n">
        <v>60</v>
      </c>
      <c r="D50" s="68">
        <f>B50*C50</f>
        <v/>
      </c>
      <c r="E50" s="90" t="n"/>
      <c r="F50" s="110">
        <f>D50+E50</f>
        <v/>
      </c>
      <c r="G50" s="91" t="n">
        <v>45790</v>
      </c>
      <c r="H50" s="86" t="n"/>
      <c r="I50" s="125" t="n"/>
    </row>
    <row r="51">
      <c r="A51" s="236" t="inlineStr">
        <is>
          <t>Menos que Um</t>
        </is>
      </c>
      <c r="B51" s="79" t="n">
        <v>1</v>
      </c>
      <c r="C51" s="68" t="n">
        <v>40</v>
      </c>
      <c r="D51" s="68">
        <f>B51*C51</f>
        <v/>
      </c>
      <c r="E51" s="76" t="n"/>
      <c r="F51" s="110">
        <f>D51+E51</f>
        <v/>
      </c>
      <c r="G51" s="70" t="n">
        <v>45790</v>
      </c>
      <c r="H51" s="86" t="n"/>
      <c r="I51" s="118" t="n"/>
    </row>
    <row r="52">
      <c r="A52" s="236" t="inlineStr">
        <is>
          <t xml:space="preserve">A Morete de Si   </t>
        </is>
      </c>
      <c r="B52" s="79" t="n">
        <v>1</v>
      </c>
      <c r="C52" s="68" t="n">
        <v>72</v>
      </c>
      <c r="D52" s="68">
        <f>B52*C52</f>
        <v/>
      </c>
      <c r="E52" s="76" t="n"/>
      <c r="F52" s="110">
        <f>D52+E52</f>
        <v/>
      </c>
      <c r="G52" s="83" t="n">
        <v>45791</v>
      </c>
      <c r="H52" s="86" t="n"/>
      <c r="I52" s="136" t="n"/>
    </row>
    <row r="53">
      <c r="A53" s="236" t="inlineStr">
        <is>
          <t>Ruidos e Silêncio</t>
        </is>
      </c>
      <c r="B53" s="79" t="n">
        <v>1</v>
      </c>
      <c r="C53" s="68" t="n">
        <v>60</v>
      </c>
      <c r="D53" s="68">
        <f>B53*C53</f>
        <v/>
      </c>
      <c r="E53" s="76" t="n"/>
      <c r="F53" s="110">
        <f>D53+E53</f>
        <v/>
      </c>
      <c r="G53" s="70" t="n">
        <v>45791</v>
      </c>
      <c r="H53" s="86" t="n"/>
      <c r="I53" s="118" t="n"/>
    </row>
    <row r="54">
      <c r="A54" s="236" t="inlineStr">
        <is>
          <t>Felicidade e Sintoma</t>
        </is>
      </c>
      <c r="B54" s="79" t="n">
        <v>1</v>
      </c>
      <c r="C54" s="68" t="n">
        <v>40</v>
      </c>
      <c r="D54" s="68">
        <f>B54*C54</f>
        <v/>
      </c>
      <c r="E54" s="76" t="n"/>
      <c r="F54" s="110">
        <f>D54+E54</f>
        <v/>
      </c>
      <c r="G54" s="70" t="n">
        <v>45791</v>
      </c>
      <c r="H54" s="86" t="n"/>
      <c r="I54" s="118" t="n"/>
    </row>
    <row r="55">
      <c r="A55" s="236" t="inlineStr">
        <is>
          <t>Ruidos e Silêncio</t>
        </is>
      </c>
      <c r="B55" s="79" t="n">
        <v>1</v>
      </c>
      <c r="C55" s="68" t="n">
        <v>60</v>
      </c>
      <c r="D55" s="68">
        <f>B55*C55</f>
        <v/>
      </c>
      <c r="E55" s="76" t="n"/>
      <c r="F55" s="110">
        <f>D55+E55</f>
        <v/>
      </c>
      <c r="G55" s="70" t="n">
        <v>45791</v>
      </c>
      <c r="H55" s="86" t="n"/>
      <c r="I55" s="118" t="n"/>
    </row>
    <row r="56">
      <c r="A56" s="236" t="inlineStr">
        <is>
          <t>A Morte de Si</t>
        </is>
      </c>
      <c r="B56" s="79" t="n">
        <v>1</v>
      </c>
      <c r="C56" s="68" t="n">
        <v>78</v>
      </c>
      <c r="D56" s="68">
        <f>B56*C56</f>
        <v/>
      </c>
      <c r="E56" s="76" t="n"/>
      <c r="F56" s="110">
        <f>D56+E56</f>
        <v/>
      </c>
      <c r="G56" s="70" t="n">
        <v>45792</v>
      </c>
      <c r="H56" s="86" t="n"/>
      <c r="I56" s="118" t="n"/>
    </row>
    <row r="57">
      <c r="A57" s="236" t="inlineStr">
        <is>
          <t>Agente 14</t>
        </is>
      </c>
      <c r="B57" s="79" t="n">
        <v>1</v>
      </c>
      <c r="C57" s="68" t="n">
        <v>15</v>
      </c>
      <c r="D57" s="68">
        <f>B57*C57</f>
        <v/>
      </c>
      <c r="E57" s="76" t="n"/>
      <c r="F57" s="110">
        <f>D57+E57</f>
        <v/>
      </c>
      <c r="G57" s="83" t="n">
        <v>45793</v>
      </c>
      <c r="H57" s="86" t="n"/>
      <c r="I57" s="136" t="n"/>
    </row>
    <row r="58">
      <c r="A58" s="236" t="inlineStr">
        <is>
          <t>Agente 19</t>
        </is>
      </c>
      <c r="B58" s="79" t="n">
        <v>1</v>
      </c>
      <c r="C58" s="68" t="n">
        <v>50</v>
      </c>
      <c r="D58" s="68">
        <f>B58*C58</f>
        <v/>
      </c>
      <c r="E58" s="117" t="n"/>
      <c r="F58" s="110">
        <f>D58+E58</f>
        <v/>
      </c>
      <c r="G58" s="70" t="n">
        <v>45793</v>
      </c>
      <c r="H58" s="86" t="n"/>
      <c r="I58" s="136" t="n"/>
    </row>
    <row r="59">
      <c r="A59" s="236" t="inlineStr">
        <is>
          <t>Agente 20</t>
        </is>
      </c>
      <c r="B59" s="79" t="n">
        <v>1</v>
      </c>
      <c r="C59" s="68" t="n">
        <v>70</v>
      </c>
      <c r="D59" s="68">
        <f>B59*C59</f>
        <v/>
      </c>
      <c r="E59" s="117" t="n"/>
      <c r="F59" s="110">
        <f>D59+E59</f>
        <v/>
      </c>
      <c r="G59" s="70" t="n">
        <v>45793</v>
      </c>
      <c r="H59" s="86" t="n"/>
      <c r="I59" s="136" t="n"/>
    </row>
    <row r="60">
      <c r="A60" s="236" t="inlineStr">
        <is>
          <t xml:space="preserve">Agente 21   </t>
        </is>
      </c>
      <c r="B60" s="79" t="n">
        <v>1</v>
      </c>
      <c r="C60" s="68" t="n">
        <v>70</v>
      </c>
      <c r="D60" s="68">
        <f>B60*C60</f>
        <v/>
      </c>
      <c r="E60" s="117" t="n"/>
      <c r="F60" s="110">
        <f>D60+E60</f>
        <v/>
      </c>
      <c r="G60" s="70" t="n">
        <v>45793</v>
      </c>
      <c r="H60" s="86" t="n"/>
      <c r="I60" s="136" t="n"/>
    </row>
    <row r="61">
      <c r="A61" s="236" t="inlineStr">
        <is>
          <t>Felicidade e Sintoma</t>
        </is>
      </c>
      <c r="B61" s="79" t="n">
        <v>1</v>
      </c>
      <c r="C61" s="68" t="n">
        <v>40</v>
      </c>
      <c r="D61" s="68">
        <f>B61*C61</f>
        <v/>
      </c>
      <c r="E61" s="90" t="n"/>
      <c r="F61" s="110">
        <f>D61+E61</f>
        <v/>
      </c>
      <c r="G61" s="91" t="n">
        <v>45793</v>
      </c>
      <c r="H61" s="86" t="n"/>
      <c r="I61" s="136" t="n"/>
    </row>
    <row r="62">
      <c r="A62" s="236" t="inlineStr">
        <is>
          <t>Seminário / Nieves Soria Defunchio</t>
        </is>
      </c>
      <c r="B62" s="79" t="n">
        <v>1</v>
      </c>
      <c r="C62" s="68" t="n">
        <v>20</v>
      </c>
      <c r="D62" s="68">
        <f>B62*C62</f>
        <v/>
      </c>
      <c r="E62" s="88" t="n"/>
      <c r="F62" s="110">
        <f>D62+E62</f>
        <v/>
      </c>
      <c r="G62" s="83" t="n">
        <v>45793</v>
      </c>
      <c r="H62" s="86" t="n"/>
      <c r="I62" s="136" t="n"/>
    </row>
    <row r="63">
      <c r="A63" s="236" t="inlineStr">
        <is>
          <t>Felicidade e Sintoma</t>
        </is>
      </c>
      <c r="B63" s="79" t="n">
        <v>1</v>
      </c>
      <c r="C63" s="68" t="n">
        <v>40</v>
      </c>
      <c r="D63" s="68">
        <f>B63*C63</f>
        <v/>
      </c>
      <c r="E63" s="90" t="n"/>
      <c r="F63" s="110">
        <f>D63+E63</f>
        <v/>
      </c>
      <c r="G63" s="91" t="n">
        <v>45793</v>
      </c>
      <c r="H63" s="86" t="n"/>
      <c r="I63" s="118" t="n"/>
    </row>
    <row r="64">
      <c r="A64" s="236" t="inlineStr">
        <is>
          <t>A Morte de Si</t>
        </is>
      </c>
      <c r="B64" s="79" t="n">
        <v>1</v>
      </c>
      <c r="C64" s="68" t="n">
        <v>78</v>
      </c>
      <c r="D64" s="68">
        <f>B64*C64</f>
        <v/>
      </c>
      <c r="E64" s="76" t="n"/>
      <c r="F64" s="110">
        <f>D64+E64</f>
        <v/>
      </c>
      <c r="G64" s="70" t="n">
        <v>45793</v>
      </c>
      <c r="H64" s="86" t="n"/>
      <c r="I64" s="118" t="n"/>
    </row>
    <row r="65">
      <c r="A65" s="236" t="inlineStr">
        <is>
          <t>A Morte de Si</t>
        </is>
      </c>
      <c r="B65" s="79" t="n">
        <v>1</v>
      </c>
      <c r="C65" s="68" t="n">
        <v>78</v>
      </c>
      <c r="D65" s="68">
        <f>B65*C65</f>
        <v/>
      </c>
      <c r="E65" s="76" t="n"/>
      <c r="F65" s="110">
        <f>D65+E65</f>
        <v/>
      </c>
      <c r="G65" s="70" t="n">
        <v>45796</v>
      </c>
      <c r="H65" s="86" t="n"/>
      <c r="I65" s="118" t="n"/>
    </row>
    <row r="66">
      <c r="A66" s="236" t="inlineStr">
        <is>
          <t>A Morte de Si</t>
        </is>
      </c>
      <c r="B66" s="79" t="n">
        <v>1</v>
      </c>
      <c r="C66" s="68" t="n">
        <v>78</v>
      </c>
      <c r="D66" s="68">
        <f>B66*C66</f>
        <v/>
      </c>
      <c r="E66" s="90" t="n"/>
      <c r="F66" s="110">
        <f>D66+E66</f>
        <v/>
      </c>
      <c r="G66" s="91" t="n">
        <v>45796</v>
      </c>
      <c r="H66" s="86" t="n"/>
      <c r="I66" s="125" t="n"/>
    </row>
    <row r="67">
      <c r="A67" s="236" t="inlineStr">
        <is>
          <t>El Padre en Cuestión</t>
        </is>
      </c>
      <c r="B67" s="79" t="n">
        <v>1</v>
      </c>
      <c r="C67" s="68" t="n">
        <v>90</v>
      </c>
      <c r="D67" s="68">
        <f>B67*C67</f>
        <v/>
      </c>
      <c r="E67" s="76" t="n"/>
      <c r="F67" s="110">
        <f>D67+E67</f>
        <v/>
      </c>
      <c r="G67" s="70" t="n">
        <v>45796</v>
      </c>
      <c r="H67" s="86" t="n"/>
      <c r="I67" s="118" t="n"/>
    </row>
    <row r="68">
      <c r="A68" s="236" t="inlineStr">
        <is>
          <t>Menos que Um</t>
        </is>
      </c>
      <c r="B68" s="79" t="n">
        <v>1</v>
      </c>
      <c r="C68" s="68" t="n">
        <v>40</v>
      </c>
      <c r="D68" s="68">
        <f>B68*C68</f>
        <v/>
      </c>
      <c r="E68" s="76" t="n"/>
      <c r="F68" s="110">
        <f>D68+E68</f>
        <v/>
      </c>
      <c r="G68" s="70" t="n">
        <v>45797</v>
      </c>
      <c r="H68" s="86" t="n"/>
      <c r="I68" s="118" t="n"/>
    </row>
    <row r="69">
      <c r="A69" s="236" t="inlineStr">
        <is>
          <t>Princípios de Uma psicoterapia de la psicose</t>
        </is>
      </c>
      <c r="B69" s="79" t="n">
        <v>1</v>
      </c>
      <c r="C69" s="68" t="n">
        <v>170</v>
      </c>
      <c r="D69" s="68">
        <f>B69*C69</f>
        <v/>
      </c>
      <c r="E69" s="76" t="n">
        <v>15</v>
      </c>
      <c r="F69" s="110">
        <f>D69+E69</f>
        <v/>
      </c>
      <c r="G69" s="70" t="n">
        <v>45798</v>
      </c>
      <c r="H69" s="86" t="n"/>
      <c r="I69" s="118" t="n"/>
    </row>
    <row r="70">
      <c r="A70" s="236" t="inlineStr">
        <is>
          <t>Princípios de Uma psicoterapia de la psicose</t>
        </is>
      </c>
      <c r="B70" s="79" t="n">
        <v>1</v>
      </c>
      <c r="C70" s="68" t="n">
        <v>170</v>
      </c>
      <c r="D70" s="68">
        <f>B70*C70</f>
        <v/>
      </c>
      <c r="E70" s="76" t="n">
        <v>15</v>
      </c>
      <c r="F70" s="110">
        <f>D70+E70</f>
        <v/>
      </c>
      <c r="G70" s="70" t="n">
        <v>45798</v>
      </c>
      <c r="H70" s="86" t="n"/>
      <c r="I70" s="118" t="n"/>
    </row>
    <row r="71">
      <c r="A71" s="236" t="inlineStr">
        <is>
          <t>Princípios de Uma psicoterapia de la psicose</t>
        </is>
      </c>
      <c r="B71" s="79" t="n">
        <v>1</v>
      </c>
      <c r="C71" s="68" t="n">
        <v>170</v>
      </c>
      <c r="D71" s="68">
        <f>B71*C71</f>
        <v/>
      </c>
      <c r="E71" s="76" t="n"/>
      <c r="F71" s="110">
        <f>D71+E71</f>
        <v/>
      </c>
      <c r="G71" s="70" t="n">
        <v>45800</v>
      </c>
      <c r="H71" s="86" t="n"/>
      <c r="I71" s="118" t="n"/>
    </row>
    <row r="72">
      <c r="A72" s="236" t="inlineStr">
        <is>
          <t>A Morte de Si</t>
        </is>
      </c>
      <c r="B72" s="79" t="n">
        <v>1</v>
      </c>
      <c r="C72" s="68" t="n">
        <v>78</v>
      </c>
      <c r="D72" s="68">
        <f>B72*C72</f>
        <v/>
      </c>
      <c r="E72" s="150" t="n"/>
      <c r="F72" s="110">
        <f>D72+E72</f>
        <v/>
      </c>
      <c r="G72" s="70" t="n">
        <v>45800</v>
      </c>
      <c r="H72" s="86" t="n"/>
      <c r="I72" s="152" t="n"/>
    </row>
    <row r="73">
      <c r="A73" s="236" t="inlineStr">
        <is>
          <t>Seminário / Nieves Soria Defunchio</t>
        </is>
      </c>
      <c r="B73" s="79" t="n">
        <v>2</v>
      </c>
      <c r="C73" s="68" t="n">
        <v>20</v>
      </c>
      <c r="D73" s="68">
        <f>B73*C73</f>
        <v/>
      </c>
      <c r="E73" s="150" t="n"/>
      <c r="F73" s="110">
        <f>D73+E73</f>
        <v/>
      </c>
      <c r="G73" s="70" t="n">
        <v>45805</v>
      </c>
      <c r="H73" s="86" t="n"/>
      <c r="I73" s="152" t="n"/>
    </row>
    <row r="74">
      <c r="A74" s="139" t="inlineStr">
        <is>
          <t xml:space="preserve">Clínica do Excesso Derivas pulsionais e soluções sintomáticas na psicopatologia conteporânea  </t>
        </is>
      </c>
      <c r="B74" s="79" t="n">
        <v>1</v>
      </c>
      <c r="C74" s="68" t="n">
        <v>120</v>
      </c>
      <c r="D74" s="68">
        <f>B74*C74</f>
        <v/>
      </c>
      <c r="E74" s="90" t="n"/>
      <c r="F74" s="110">
        <f>D74+E74</f>
        <v/>
      </c>
      <c r="G74" s="70" t="n">
        <v>45806</v>
      </c>
      <c r="H74" s="86" t="n"/>
      <c r="I74" s="115" t="n"/>
    </row>
    <row r="75">
      <c r="A75" s="139" t="inlineStr">
        <is>
          <t xml:space="preserve">Clínica do Excesso Derivas pulsionais e soluções sintomáticas na psicopatologia conteporânea  </t>
        </is>
      </c>
      <c r="B75" s="79" t="n">
        <v>1</v>
      </c>
      <c r="C75" s="68" t="n">
        <v>120</v>
      </c>
      <c r="D75" s="68">
        <f>B75*C75</f>
        <v/>
      </c>
      <c r="E75" s="90" t="n">
        <v>15</v>
      </c>
      <c r="F75" s="110">
        <f>D75+E75</f>
        <v/>
      </c>
      <c r="G75" s="70" t="n">
        <v>45806</v>
      </c>
      <c r="H75" s="86" t="n"/>
      <c r="I75" s="115" t="n"/>
    </row>
    <row r="76">
      <c r="A76" s="139" t="inlineStr">
        <is>
          <t xml:space="preserve">Clínica do Excesso Derivas pulsionais e soluções sintomáticas na psicopatologia conteporânea  </t>
        </is>
      </c>
      <c r="B76" s="79" t="n">
        <v>1</v>
      </c>
      <c r="C76" s="68" t="n">
        <v>120</v>
      </c>
      <c r="D76" s="68">
        <f>B76*C76</f>
        <v/>
      </c>
      <c r="E76" s="90" t="n"/>
      <c r="F76" s="110">
        <f>D76+E76</f>
        <v/>
      </c>
      <c r="G76" s="70" t="n">
        <v>45806</v>
      </c>
      <c r="H76" s="86" t="n"/>
      <c r="I76" s="136" t="n"/>
    </row>
    <row r="77">
      <c r="A77" s="139" t="inlineStr">
        <is>
          <t xml:space="preserve">Clínica do Excesso Derivas pulsionais e soluções sintomáticas na psicopatologia conteporânea  </t>
        </is>
      </c>
      <c r="B77" s="79" t="n">
        <v>1</v>
      </c>
      <c r="C77" s="68" t="n">
        <v>120</v>
      </c>
      <c r="D77" s="68">
        <f>B77*C77</f>
        <v/>
      </c>
      <c r="E77" s="109" t="n">
        <v>15</v>
      </c>
      <c r="F77" s="110">
        <f>D77+E77</f>
        <v/>
      </c>
      <c r="G77" s="70" t="n">
        <v>45806</v>
      </c>
      <c r="H77" s="86" t="n"/>
      <c r="I77" s="136" t="n"/>
    </row>
    <row r="78">
      <c r="A78" s="139" t="inlineStr">
        <is>
          <t xml:space="preserve">Clínica do Excesso Derivas pulsionais e soluções sintomáticas na psicopatologia conteporânea  </t>
        </is>
      </c>
      <c r="B78" s="79" t="n">
        <v>1</v>
      </c>
      <c r="C78" s="68" t="n">
        <v>120</v>
      </c>
      <c r="D78" s="68">
        <f>B78*C78</f>
        <v/>
      </c>
      <c r="E78" s="109" t="n">
        <v>15</v>
      </c>
      <c r="F78" s="110">
        <f>D78+E78</f>
        <v/>
      </c>
      <c r="G78" s="70" t="n">
        <v>45806</v>
      </c>
      <c r="H78" s="86" t="n"/>
      <c r="I78" s="136" t="n"/>
    </row>
    <row r="79">
      <c r="A79" s="139" t="inlineStr">
        <is>
          <t xml:space="preserve">Clínica do Excesso Derivas pulsionais e soluções sintomáticas na psicopatologia conteporânea  </t>
        </is>
      </c>
      <c r="B79" s="79" t="n">
        <v>1</v>
      </c>
      <c r="C79" s="68" t="n">
        <v>120</v>
      </c>
      <c r="D79" s="68">
        <f>B79*C79</f>
        <v/>
      </c>
      <c r="E79" s="90" t="n">
        <v>15</v>
      </c>
      <c r="F79" s="110">
        <f>D79+E79</f>
        <v/>
      </c>
      <c r="G79" s="91" t="n">
        <v>45806</v>
      </c>
      <c r="H79" s="86" t="n"/>
      <c r="I79" s="125" t="n"/>
    </row>
    <row r="80">
      <c r="A80" s="139" t="inlineStr">
        <is>
          <t xml:space="preserve">Clínica do Excesso Derivas pulsionais e soluções sintomáticas na psicopatologia conteporânea  </t>
        </is>
      </c>
      <c r="B80" s="79" t="n">
        <v>1</v>
      </c>
      <c r="C80" s="68" t="n">
        <v>120</v>
      </c>
      <c r="D80" s="68">
        <f>B80*C80</f>
        <v/>
      </c>
      <c r="E80" s="117" t="n"/>
      <c r="F80" s="110">
        <f>D80+E80</f>
        <v/>
      </c>
      <c r="G80" s="120" t="n">
        <v>45810</v>
      </c>
      <c r="H80" s="86" t="n"/>
      <c r="I80" s="154" t="n"/>
    </row>
    <row r="81">
      <c r="A81" s="236" t="inlineStr">
        <is>
          <t xml:space="preserve">La diferença de los Sexos </t>
        </is>
      </c>
      <c r="B81" s="79" t="n">
        <v>1</v>
      </c>
      <c r="C81" s="68" t="n">
        <v>70</v>
      </c>
      <c r="D81" s="68">
        <f>B81*C81</f>
        <v/>
      </c>
      <c r="E81" s="117" t="n"/>
      <c r="F81" s="110">
        <f>D81+E81</f>
        <v/>
      </c>
      <c r="G81" s="120" t="n">
        <v>45810</v>
      </c>
      <c r="H81" s="86" t="n"/>
      <c r="I81" s="154" t="n"/>
    </row>
    <row r="82">
      <c r="A82" s="236" t="inlineStr">
        <is>
          <t>Memórias, Linguagem e Mente</t>
        </is>
      </c>
      <c r="B82" s="79" t="n">
        <v>1</v>
      </c>
      <c r="C82" s="68" t="n">
        <v>60</v>
      </c>
      <c r="D82" s="68">
        <f>B82*C82</f>
        <v/>
      </c>
      <c r="E82" s="117" t="n"/>
      <c r="F82" s="131">
        <f>D82+E82</f>
        <v/>
      </c>
      <c r="G82" s="120" t="n">
        <v>45810</v>
      </c>
      <c r="H82" s="86" t="n"/>
      <c r="I82" s="154" t="n"/>
    </row>
    <row r="83">
      <c r="A83" s="236" t="inlineStr">
        <is>
          <t>Felicidade e Sintoma</t>
        </is>
      </c>
      <c r="B83" s="79" t="n">
        <v>1</v>
      </c>
      <c r="C83" s="68" t="n">
        <v>40</v>
      </c>
      <c r="D83" s="68">
        <f>B83*C83</f>
        <v/>
      </c>
      <c r="E83" s="117" t="n"/>
      <c r="F83" s="131">
        <f>D83+E83</f>
        <v/>
      </c>
      <c r="G83" s="120" t="n">
        <v>45810</v>
      </c>
      <c r="H83" s="86" t="n"/>
      <c r="I83" s="154" t="n"/>
    </row>
    <row r="84">
      <c r="A84" s="236" t="inlineStr">
        <is>
          <t>Quem tem medo da geração Shopping</t>
        </is>
      </c>
      <c r="B84" s="79" t="n">
        <v>1</v>
      </c>
      <c r="C84" s="68" t="n">
        <v>30</v>
      </c>
      <c r="D84" s="68">
        <f>B84*C84</f>
        <v/>
      </c>
      <c r="E84" s="117" t="n"/>
      <c r="F84" s="131">
        <f>D84+E84</f>
        <v/>
      </c>
      <c r="G84" s="120" t="n">
        <v>45811</v>
      </c>
      <c r="H84" s="86" t="n"/>
      <c r="I84" s="154" t="n"/>
    </row>
    <row r="85">
      <c r="A85" s="236" t="inlineStr">
        <is>
          <t xml:space="preserve">Clínica do Excesso Derivas pulsionais e soluções sintomáticas na psicopatologia conteporânea  </t>
        </is>
      </c>
      <c r="B85" s="79" t="n">
        <v>1</v>
      </c>
      <c r="C85" s="68" t="n">
        <v>120</v>
      </c>
      <c r="D85" s="68">
        <f>B85*C85</f>
        <v/>
      </c>
      <c r="E85" s="117" t="n"/>
      <c r="F85" s="131">
        <f>D85+E85</f>
        <v/>
      </c>
      <c r="G85" s="120" t="n">
        <v>45811</v>
      </c>
      <c r="H85" s="86" t="n"/>
      <c r="I85" s="154" t="n"/>
    </row>
    <row r="86">
      <c r="A86" s="236" t="inlineStr">
        <is>
          <t xml:space="preserve">Clínica do Excesso Derivas pulsionais e soluções sintomáticas na psicopatologia conteporânea  </t>
        </is>
      </c>
      <c r="B86" s="79" t="n">
        <v>1</v>
      </c>
      <c r="C86" s="68" t="n">
        <v>120</v>
      </c>
      <c r="D86" s="68">
        <f>B86*C86</f>
        <v/>
      </c>
      <c r="E86" s="117" t="n"/>
      <c r="F86" s="135">
        <f>D86+E86</f>
        <v/>
      </c>
      <c r="G86" s="83" t="n">
        <v>45811</v>
      </c>
      <c r="H86" s="86" t="n"/>
      <c r="I86" s="136" t="n"/>
    </row>
    <row r="87">
      <c r="A87" s="236" t="inlineStr">
        <is>
          <t>Princípios de Uma psicoterapia de la psicose</t>
        </is>
      </c>
      <c r="B87" s="79" t="n">
        <v>1</v>
      </c>
      <c r="C87" s="68" t="n">
        <v>170</v>
      </c>
      <c r="D87" s="68">
        <f>B87*C87</f>
        <v/>
      </c>
      <c r="E87" s="117" t="n"/>
      <c r="F87" s="131">
        <f>D87+E87</f>
        <v/>
      </c>
      <c r="G87" s="91" t="n">
        <v>45812</v>
      </c>
      <c r="H87" s="86" t="n"/>
      <c r="I87" s="125" t="n"/>
    </row>
    <row r="88">
      <c r="A88" s="139" t="inlineStr">
        <is>
          <t xml:space="preserve">Clínica do Excesso Derivas pulsionais e soluções sintomáticas na psicopatologia conteporânea  </t>
        </is>
      </c>
      <c r="B88" s="79" t="n">
        <v>1</v>
      </c>
      <c r="C88" s="68" t="n">
        <v>120</v>
      </c>
      <c r="D88" s="68">
        <f>B88*C88</f>
        <v/>
      </c>
      <c r="E88" s="76" t="n"/>
      <c r="F88" s="131">
        <f>D88+E88</f>
        <v/>
      </c>
      <c r="G88" s="70" t="n">
        <v>45812</v>
      </c>
      <c r="H88" s="86" t="n"/>
      <c r="I88" s="118" t="n"/>
    </row>
    <row r="89">
      <c r="A89" s="139" t="inlineStr">
        <is>
          <t xml:space="preserve">Clínica do Excesso Derivas pulsionais e soluções sintomáticas na psicopatologia conteporânea  </t>
        </is>
      </c>
      <c r="B89" s="79" t="n">
        <v>1</v>
      </c>
      <c r="C89" s="68" t="n">
        <v>120</v>
      </c>
      <c r="D89" s="68">
        <f>B89*C89</f>
        <v/>
      </c>
      <c r="E89" s="76" t="n"/>
      <c r="F89" s="131">
        <f>D89+E89</f>
        <v/>
      </c>
      <c r="G89" s="70" t="n">
        <v>45813</v>
      </c>
      <c r="H89" s="86" t="n"/>
      <c r="I89" s="118" t="n"/>
    </row>
    <row r="90">
      <c r="A90" s="236" t="inlineStr">
        <is>
          <t xml:space="preserve">A Morte de Si </t>
        </is>
      </c>
      <c r="B90" s="79" t="n">
        <v>1</v>
      </c>
      <c r="C90" s="68" t="n">
        <v>78</v>
      </c>
      <c r="D90" s="68">
        <f>B90*C90</f>
        <v/>
      </c>
      <c r="E90" s="76" t="n"/>
      <c r="F90" s="131">
        <f>D90+E90</f>
        <v/>
      </c>
      <c r="G90" s="70" t="n">
        <v>45783</v>
      </c>
      <c r="H90" s="86" t="n"/>
      <c r="I90" s="118" t="n"/>
    </row>
    <row r="91">
      <c r="A91" s="236" t="inlineStr">
        <is>
          <t>Memória, Linguagem e Mente</t>
        </is>
      </c>
      <c r="B91" s="79" t="n">
        <v>1</v>
      </c>
      <c r="C91" s="68" t="n">
        <v>60</v>
      </c>
      <c r="D91" s="68">
        <f>B91*C91</f>
        <v/>
      </c>
      <c r="E91" s="76" t="n"/>
      <c r="F91" s="131">
        <f>D91+E91</f>
        <v/>
      </c>
      <c r="G91" s="70" t="n">
        <v>45814</v>
      </c>
      <c r="H91" s="86" t="n"/>
      <c r="I91" s="118" t="n"/>
    </row>
    <row r="92">
      <c r="A92" s="236" t="inlineStr">
        <is>
          <t>Clinica do Excesso</t>
        </is>
      </c>
      <c r="B92" s="79" t="n">
        <v>1</v>
      </c>
      <c r="C92" s="68" t="n">
        <v>120</v>
      </c>
      <c r="D92" s="68">
        <f>B92*C92</f>
        <v/>
      </c>
      <c r="E92" s="88" t="n">
        <v>15</v>
      </c>
      <c r="F92" s="135">
        <f>D92+E92</f>
        <v/>
      </c>
      <c r="G92" s="83" t="n">
        <v>45814</v>
      </c>
      <c r="H92" s="86" t="n"/>
      <c r="I92" s="136" t="n"/>
    </row>
    <row r="93">
      <c r="A93" s="236" t="inlineStr">
        <is>
          <t xml:space="preserve">Mutações </t>
        </is>
      </c>
      <c r="B93" s="79" t="n">
        <v>1</v>
      </c>
      <c r="C93" s="68" t="n">
        <v>155</v>
      </c>
      <c r="D93" s="68">
        <f>B93*C93</f>
        <v/>
      </c>
      <c r="E93" s="117" t="n"/>
      <c r="F93" s="135">
        <f>D93+E93</f>
        <v/>
      </c>
      <c r="G93" s="83" t="n">
        <v>45817</v>
      </c>
      <c r="H93" s="86" t="n"/>
      <c r="I93" s="136" t="n"/>
    </row>
    <row r="94">
      <c r="A94" s="236" t="inlineStr">
        <is>
          <t>Las entrevistas preliminares y la entrada em análisis</t>
        </is>
      </c>
      <c r="B94" s="79" t="n">
        <v>1</v>
      </c>
      <c r="C94" s="68" t="n">
        <v>130</v>
      </c>
      <c r="D94" s="68">
        <f>B94*C94</f>
        <v/>
      </c>
      <c r="E94" s="117" t="n"/>
      <c r="F94" s="135">
        <f>D94+E94</f>
        <v/>
      </c>
      <c r="G94" s="83" t="n">
        <v>45818</v>
      </c>
      <c r="H94" s="86" t="n"/>
      <c r="I94" s="136" t="n"/>
    </row>
    <row r="95">
      <c r="A95" s="236" t="inlineStr">
        <is>
          <t>Las entrevistas preliminares y la entrada em análisis</t>
        </is>
      </c>
      <c r="B95" s="79" t="n">
        <v>1</v>
      </c>
      <c r="C95" s="68" t="n">
        <v>130</v>
      </c>
      <c r="D95" s="68">
        <f>B95*C95</f>
        <v/>
      </c>
      <c r="E95" s="76" t="n"/>
      <c r="F95" s="135">
        <f>D95+E95</f>
        <v/>
      </c>
      <c r="G95" s="83" t="n">
        <v>45818</v>
      </c>
      <c r="H95" s="86" t="n"/>
      <c r="I95" s="136" t="n"/>
    </row>
    <row r="96">
      <c r="A96" s="236" t="inlineStr">
        <is>
          <t>Las entrevistas preliminares y la entrada em análisis</t>
        </is>
      </c>
      <c r="B96" s="79" t="n">
        <v>13</v>
      </c>
      <c r="C96" s="68" t="n">
        <v>130</v>
      </c>
      <c r="D96" s="68">
        <f>B96*C96</f>
        <v/>
      </c>
      <c r="E96" s="76" t="n"/>
      <c r="F96" s="135">
        <f>D96+E96</f>
        <v/>
      </c>
      <c r="G96" s="70" t="n">
        <v>45819</v>
      </c>
      <c r="H96" s="86" t="n"/>
      <c r="I96" s="118" t="n"/>
    </row>
    <row r="97">
      <c r="A97" s="236" t="inlineStr">
        <is>
          <t>Las entrevistas preliminares y la entrada em análisis</t>
        </is>
      </c>
      <c r="B97" s="79" t="n">
        <v>1</v>
      </c>
      <c r="C97" s="68" t="n">
        <v>130</v>
      </c>
      <c r="D97" s="68">
        <f>B97*C97</f>
        <v/>
      </c>
      <c r="E97" s="88" t="n"/>
      <c r="F97" s="135">
        <f>D97+E97</f>
        <v/>
      </c>
      <c r="G97" s="83" t="n">
        <v>45819</v>
      </c>
      <c r="H97" s="86" t="n"/>
      <c r="I97" s="136" t="n"/>
    </row>
    <row r="98">
      <c r="A98" s="236" t="inlineStr">
        <is>
          <t>Las entrevistas preliminares y la entrada em análisis</t>
        </is>
      </c>
      <c r="B98" s="79" t="n">
        <v>1</v>
      </c>
      <c r="C98" s="68" t="n">
        <v>130</v>
      </c>
      <c r="D98" s="68">
        <f>B98*C98</f>
        <v/>
      </c>
      <c r="E98" s="76" t="n"/>
      <c r="F98" s="135">
        <f>D98+E98</f>
        <v/>
      </c>
      <c r="G98" s="70" t="n">
        <v>45819</v>
      </c>
      <c r="H98" s="86" t="n"/>
      <c r="I98" s="118" t="n"/>
    </row>
    <row r="99">
      <c r="A99" s="236" t="inlineStr">
        <is>
          <t>Las entrevistas preliminares y la entrada em análisis</t>
        </is>
      </c>
      <c r="B99" s="79" t="n">
        <v>1</v>
      </c>
      <c r="C99" s="68" t="n">
        <v>130</v>
      </c>
      <c r="D99" s="68">
        <f>B99*C99</f>
        <v/>
      </c>
      <c r="E99" s="76" t="n">
        <v>20</v>
      </c>
      <c r="F99" s="135">
        <f>D99+E99</f>
        <v/>
      </c>
      <c r="G99" s="70" t="n">
        <v>45819</v>
      </c>
      <c r="H99" s="86" t="n"/>
      <c r="I99" s="118" t="n"/>
    </row>
    <row r="100">
      <c r="A100" s="236" t="inlineStr">
        <is>
          <t>Princípios de Uma psicoterapia de la psicose</t>
        </is>
      </c>
      <c r="B100" s="79" t="n">
        <v>1</v>
      </c>
      <c r="C100" s="68" t="n">
        <v>170</v>
      </c>
      <c r="D100" s="68">
        <f>B100*C100</f>
        <v/>
      </c>
      <c r="E100" s="76" t="n"/>
      <c r="F100" s="135" t="n">
        <v>170</v>
      </c>
      <c r="G100" s="70" t="n">
        <v>45819</v>
      </c>
      <c r="H100" s="86" t="n"/>
      <c r="I100" s="118" t="n"/>
    </row>
    <row r="101">
      <c r="A101" s="236" t="inlineStr">
        <is>
          <t>Las entrevistas preliminares y la entrada em análisis</t>
        </is>
      </c>
      <c r="B101" s="79" t="n">
        <v>1</v>
      </c>
      <c r="C101" s="68" t="n">
        <v>130</v>
      </c>
      <c r="D101" s="68">
        <f>B101*C101</f>
        <v/>
      </c>
      <c r="E101" s="76" t="n"/>
      <c r="F101" s="135">
        <f>D101+E101</f>
        <v/>
      </c>
      <c r="G101" s="70" t="n">
        <v>45819</v>
      </c>
      <c r="H101" s="86" t="n"/>
      <c r="I101" s="118" t="n"/>
    </row>
    <row r="102">
      <c r="A102" s="236" t="inlineStr">
        <is>
          <t>Las entrevistas preliminares y la entrada em análisis</t>
        </is>
      </c>
      <c r="B102" s="79" t="n">
        <v>1</v>
      </c>
      <c r="C102" s="68" t="n">
        <v>130</v>
      </c>
      <c r="D102" s="68">
        <f>B102*C102</f>
        <v/>
      </c>
      <c r="E102" s="76" t="n">
        <v>15</v>
      </c>
      <c r="F102" s="135">
        <f>D102+E102</f>
        <v/>
      </c>
      <c r="G102" s="70" t="n">
        <v>45819</v>
      </c>
      <c r="H102" s="86" t="n"/>
      <c r="I102" s="118" t="n"/>
    </row>
    <row r="103">
      <c r="A103" s="236" t="inlineStr">
        <is>
          <t>Las entrevistas preliminares y la entrada em análisis</t>
        </is>
      </c>
      <c r="B103" s="79" t="n">
        <v>1</v>
      </c>
      <c r="C103" s="68" t="n">
        <v>130</v>
      </c>
      <c r="D103" s="68">
        <f>B103*C103</f>
        <v/>
      </c>
      <c r="E103" s="76" t="n"/>
      <c r="F103" s="135">
        <f>D103+E103</f>
        <v/>
      </c>
      <c r="G103" s="70" t="n">
        <v>45819</v>
      </c>
      <c r="H103" s="86" t="n"/>
      <c r="I103" s="118" t="n"/>
    </row>
    <row r="104">
      <c r="A104" s="236" t="inlineStr">
        <is>
          <t>A Morte de Si</t>
        </is>
      </c>
      <c r="B104" s="79" t="n">
        <v>1</v>
      </c>
      <c r="C104" s="68" t="n">
        <v>78</v>
      </c>
      <c r="D104" s="68">
        <f>C104</f>
        <v/>
      </c>
      <c r="E104" s="76" t="n"/>
      <c r="F104" s="135">
        <f>D104+E104</f>
        <v/>
      </c>
      <c r="G104" s="70" t="n">
        <v>45819</v>
      </c>
      <c r="H104" s="86" t="n"/>
      <c r="I104" s="118" t="n"/>
    </row>
    <row r="105">
      <c r="A105" s="236" t="inlineStr">
        <is>
          <t>Las entrevistas preliminares y la entrada em análisis</t>
        </is>
      </c>
      <c r="B105" s="79" t="n">
        <v>1</v>
      </c>
      <c r="C105" s="68" t="n">
        <v>130</v>
      </c>
      <c r="D105" s="68">
        <f>C105</f>
        <v/>
      </c>
      <c r="E105" s="117" t="n"/>
      <c r="F105" s="135">
        <f>D105+E105</f>
        <v/>
      </c>
      <c r="G105" s="70" t="n">
        <v>45819</v>
      </c>
      <c r="H105" s="86" t="n"/>
      <c r="I105" s="118" t="n"/>
    </row>
    <row r="106">
      <c r="A106" s="236" t="inlineStr">
        <is>
          <t>Las entrevistas preliminares y la entrada em análisis</t>
        </is>
      </c>
      <c r="B106" s="79" t="n">
        <v>5</v>
      </c>
      <c r="C106" s="68" t="n">
        <v>130</v>
      </c>
      <c r="D106" s="68">
        <f>C106</f>
        <v/>
      </c>
      <c r="E106" s="117" t="n"/>
      <c r="F106" s="135">
        <f>D106+E106</f>
        <v/>
      </c>
      <c r="G106" s="70" t="n">
        <v>45819</v>
      </c>
      <c r="H106" s="79" t="n"/>
      <c r="I106" s="118" t="n"/>
    </row>
    <row r="107">
      <c r="A107" s="236" t="inlineStr">
        <is>
          <t>Las entrevistas preliminares y la entrada em análisis</t>
        </is>
      </c>
      <c r="B107" s="79" t="n">
        <v>1</v>
      </c>
      <c r="C107" s="68" t="n">
        <v>130</v>
      </c>
      <c r="D107" s="68">
        <f>B107*C107</f>
        <v/>
      </c>
      <c r="E107" s="117" t="n"/>
      <c r="F107" s="135">
        <f>D107+E107</f>
        <v/>
      </c>
      <c r="G107" s="70" t="n">
        <v>45819</v>
      </c>
      <c r="H107" s="79" t="n"/>
      <c r="I107" s="125" t="n"/>
    </row>
    <row r="108">
      <c r="A108" s="236" t="inlineStr">
        <is>
          <t>Las entrevistas preliminares y la entrada em análisis</t>
        </is>
      </c>
      <c r="B108" s="79" t="n">
        <v>1</v>
      </c>
      <c r="C108" s="68" t="n">
        <v>130</v>
      </c>
      <c r="D108" s="68">
        <f>B108*C108</f>
        <v/>
      </c>
      <c r="E108" s="117" t="n"/>
      <c r="F108" s="135">
        <f>D108+E108</f>
        <v/>
      </c>
      <c r="G108" s="70" t="n">
        <v>45819</v>
      </c>
      <c r="H108" s="79" t="n"/>
      <c r="I108" s="125" t="n"/>
    </row>
    <row r="109">
      <c r="A109" s="236" t="inlineStr">
        <is>
          <t>Las entrevistas preliminares y la entrada em análisis</t>
        </is>
      </c>
      <c r="B109" s="79" t="n">
        <v>1</v>
      </c>
      <c r="C109" s="68" t="n">
        <v>130</v>
      </c>
      <c r="D109" s="68">
        <f>B109*C109</f>
        <v/>
      </c>
      <c r="E109" s="90" t="n"/>
      <c r="F109" s="135">
        <f>D109+E109</f>
        <v/>
      </c>
      <c r="G109" s="70" t="n">
        <v>45819</v>
      </c>
      <c r="H109" s="79" t="n"/>
      <c r="I109" s="125" t="n"/>
    </row>
    <row r="110">
      <c r="A110" s="236" t="inlineStr">
        <is>
          <t>Las entrevistas preliminares y la entrada em análisis</t>
        </is>
      </c>
      <c r="B110" s="79" t="n">
        <v>1</v>
      </c>
      <c r="C110" s="68" t="n">
        <v>130</v>
      </c>
      <c r="D110" s="68">
        <f>B110*C110</f>
        <v/>
      </c>
      <c r="E110" s="90" t="n"/>
      <c r="F110" s="135">
        <f>D110+E110</f>
        <v/>
      </c>
      <c r="G110" s="70" t="n">
        <v>45819</v>
      </c>
      <c r="H110" s="93" t="n"/>
      <c r="I110" s="125" t="n"/>
    </row>
    <row r="111">
      <c r="A111" s="236" t="inlineStr">
        <is>
          <t>Las entrevistas preliminares y la entrada em análisis</t>
        </is>
      </c>
      <c r="B111" s="79" t="n">
        <v>1</v>
      </c>
      <c r="C111" s="68" t="n">
        <v>130</v>
      </c>
      <c r="D111" s="68">
        <f>B111*C111</f>
        <v/>
      </c>
      <c r="E111" s="76" t="n"/>
      <c r="F111" s="135">
        <f>D111+E111</f>
        <v/>
      </c>
      <c r="G111" s="70" t="n">
        <v>45819</v>
      </c>
      <c r="H111" s="93" t="n"/>
      <c r="I111" s="118" t="n"/>
    </row>
    <row r="112">
      <c r="A112" s="236" t="inlineStr">
        <is>
          <t>Las entrevistas preliminares y la entrada em análisis</t>
        </is>
      </c>
      <c r="B112" s="79" t="n">
        <v>1</v>
      </c>
      <c r="C112" s="68" t="n">
        <v>130</v>
      </c>
      <c r="D112" s="68">
        <f>B112*C112</f>
        <v/>
      </c>
      <c r="E112" s="76" t="n"/>
      <c r="F112" s="135">
        <f>D112+E112</f>
        <v/>
      </c>
      <c r="G112" s="70" t="n">
        <v>45819</v>
      </c>
      <c r="H112" s="93" t="n"/>
      <c r="I112" s="125" t="n"/>
    </row>
    <row r="113">
      <c r="A113" s="236" t="inlineStr">
        <is>
          <t>Las entrevistas preliminares y la entrada em análisis</t>
        </is>
      </c>
      <c r="B113" s="79" t="n">
        <v>11</v>
      </c>
      <c r="C113" s="68" t="n">
        <v>130</v>
      </c>
      <c r="D113" s="68">
        <f>B113*C113</f>
        <v/>
      </c>
      <c r="E113" s="76" t="n"/>
      <c r="F113" s="135">
        <f>D113+E113</f>
        <v/>
      </c>
      <c r="G113" s="70" t="n">
        <v>45819</v>
      </c>
      <c r="H113" s="93" t="n"/>
      <c r="I113" s="125" t="n"/>
    </row>
    <row r="114">
      <c r="A114" s="191" t="inlineStr">
        <is>
          <t xml:space="preserve">Clínica do Excesso Derivas pulsionais e soluções sintomáticas na psicopatologia conteporânea  </t>
        </is>
      </c>
      <c r="B114" s="79" t="n">
        <v>1</v>
      </c>
      <c r="C114" s="68" t="n">
        <v>120</v>
      </c>
      <c r="D114" s="68">
        <f>B114*C114</f>
        <v/>
      </c>
      <c r="E114" s="76" t="n"/>
      <c r="F114" s="131">
        <f>D114+E114</f>
        <v/>
      </c>
      <c r="G114" s="120" t="n">
        <v>45819</v>
      </c>
      <c r="H114" s="93" t="n"/>
      <c r="I114" s="125" t="n"/>
    </row>
    <row r="115">
      <c r="A115" s="191" t="inlineStr">
        <is>
          <t xml:space="preserve">Clínica do Excesso Derivas pulsionais e soluções sintomáticas na psicopatologia conteporânea  </t>
        </is>
      </c>
      <c r="B115" s="79" t="n">
        <v>1</v>
      </c>
      <c r="C115" s="68" t="n">
        <v>120</v>
      </c>
      <c r="D115" s="68">
        <f>B115*C115</f>
        <v/>
      </c>
      <c r="E115" s="76" t="n"/>
      <c r="F115" s="131">
        <f>D115+E115</f>
        <v/>
      </c>
      <c r="G115" s="120" t="n">
        <v>45821</v>
      </c>
      <c r="H115" s="93" t="n"/>
      <c r="I115" s="125" t="n"/>
    </row>
    <row r="116">
      <c r="A116" s="236" t="inlineStr">
        <is>
          <t>Las entrevistas preliminares y la entrada em análisis</t>
        </is>
      </c>
      <c r="B116" s="79" t="n">
        <v>1</v>
      </c>
      <c r="C116" s="68" t="n">
        <v>130</v>
      </c>
      <c r="D116" s="68">
        <f>B116*C116</f>
        <v/>
      </c>
      <c r="E116" s="76" t="n"/>
      <c r="F116" s="131">
        <f>D116+E116</f>
        <v/>
      </c>
      <c r="G116" s="83" t="n">
        <v>45821</v>
      </c>
      <c r="H116" s="93" t="n"/>
      <c r="I116" s="118" t="n"/>
    </row>
    <row r="117">
      <c r="A117" s="236" t="inlineStr">
        <is>
          <t>Seminário / Nieves Soria Defunchio</t>
        </is>
      </c>
      <c r="B117" s="79" t="n">
        <v>1</v>
      </c>
      <c r="C117" s="68" t="n">
        <v>20</v>
      </c>
      <c r="D117" s="68">
        <f>B117*C117</f>
        <v/>
      </c>
      <c r="E117" s="76" t="n"/>
      <c r="F117" s="131">
        <f>D117+E117</f>
        <v/>
      </c>
      <c r="G117" s="83" t="n">
        <v>45821</v>
      </c>
      <c r="H117" s="93" t="n"/>
      <c r="I117" s="118" t="n"/>
    </row>
    <row r="118">
      <c r="A118" s="236" t="inlineStr">
        <is>
          <t>Las entrevistas preliminares y la entrada em análisis</t>
        </is>
      </c>
      <c r="B118" s="79" t="n">
        <v>1</v>
      </c>
      <c r="C118" s="68" t="n">
        <v>130</v>
      </c>
      <c r="D118" s="68">
        <f>B118*C118</f>
        <v/>
      </c>
      <c r="E118" s="76" t="n"/>
      <c r="F118" s="131">
        <f>D118+E118</f>
        <v/>
      </c>
      <c r="G118" s="83" t="n">
        <v>45821</v>
      </c>
      <c r="H118" s="93" t="n"/>
      <c r="I118" s="118" t="n"/>
    </row>
    <row r="119">
      <c r="A119" s="236" t="inlineStr">
        <is>
          <t>Las entrevistas preliminares y la entrada em análisis</t>
        </is>
      </c>
      <c r="B119" s="79" t="n">
        <v>1</v>
      </c>
      <c r="C119" s="68" t="n">
        <v>130</v>
      </c>
      <c r="D119" s="68">
        <f>B119*C119</f>
        <v/>
      </c>
      <c r="E119" s="90" t="n"/>
      <c r="F119" s="141">
        <f>D119+E119</f>
        <v/>
      </c>
      <c r="G119" s="91" t="n">
        <v>45824</v>
      </c>
      <c r="H119" s="93" t="n"/>
      <c r="I119" s="125" t="n"/>
    </row>
    <row r="120">
      <c r="A120" s="236" t="inlineStr">
        <is>
          <t>Agente 19</t>
        </is>
      </c>
      <c r="B120" s="79" t="n">
        <v>1</v>
      </c>
      <c r="C120" s="171" t="inlineStr">
        <is>
          <t>Doação</t>
        </is>
      </c>
      <c r="D120" s="68" t="inlineStr">
        <is>
          <t>Magnelli</t>
        </is>
      </c>
      <c r="E120" s="76" t="n"/>
      <c r="F120" s="131" t="n"/>
      <c r="G120" s="83" t="n">
        <v>45819</v>
      </c>
      <c r="H120" s="93" t="n"/>
      <c r="I120" s="193" t="n"/>
    </row>
    <row r="121">
      <c r="A121" s="236" t="inlineStr">
        <is>
          <t>Agente 20</t>
        </is>
      </c>
      <c r="B121" s="79" t="n">
        <v>1</v>
      </c>
      <c r="C121" s="171" t="inlineStr">
        <is>
          <t>Doação</t>
        </is>
      </c>
      <c r="D121" s="68" t="inlineStr">
        <is>
          <t>Magnelli</t>
        </is>
      </c>
      <c r="E121" s="76" t="n"/>
      <c r="F121" s="131" t="n"/>
      <c r="G121" s="83" t="n">
        <v>45819</v>
      </c>
      <c r="H121" s="93" t="n"/>
      <c r="I121" s="193" t="n"/>
    </row>
    <row r="122">
      <c r="A122" s="236" t="inlineStr">
        <is>
          <t xml:space="preserve">Agente 21   </t>
        </is>
      </c>
      <c r="B122" s="79" t="n">
        <v>1</v>
      </c>
      <c r="C122" s="171" t="inlineStr">
        <is>
          <t>Doação</t>
        </is>
      </c>
      <c r="D122" s="68" t="inlineStr">
        <is>
          <t>M. Antelo</t>
        </is>
      </c>
      <c r="E122" s="76" t="n"/>
      <c r="F122" s="131" t="n"/>
      <c r="G122" s="83" t="n">
        <v>45819</v>
      </c>
      <c r="H122" s="93" t="n"/>
      <c r="I122" s="193" t="n"/>
    </row>
    <row r="123">
      <c r="A123" s="236" t="inlineStr">
        <is>
          <t>As Paixzões do Parlêtre</t>
        </is>
      </c>
      <c r="B123" s="79" t="n">
        <v>1</v>
      </c>
      <c r="C123" s="171" t="inlineStr">
        <is>
          <t>Doação</t>
        </is>
      </c>
      <c r="D123" s="68" t="inlineStr">
        <is>
          <t>M. Antelo</t>
        </is>
      </c>
      <c r="E123" s="76" t="n"/>
      <c r="F123" s="131" t="n"/>
      <c r="G123" s="83" t="n">
        <v>45819</v>
      </c>
      <c r="H123" s="93" t="n"/>
      <c r="I123" s="193" t="n"/>
    </row>
    <row r="124">
      <c r="A124" s="236" t="inlineStr">
        <is>
          <t>Las entrevistas preliminares y la entrada em análisis</t>
        </is>
      </c>
      <c r="B124" s="79" t="n">
        <v>1</v>
      </c>
      <c r="C124" s="68" t="n">
        <v>130</v>
      </c>
      <c r="D124" s="68">
        <f>B124*C123:C124</f>
        <v/>
      </c>
      <c r="E124" s="76" t="n"/>
      <c r="F124" s="131">
        <f>D124+E124</f>
        <v/>
      </c>
      <c r="G124" s="83" t="n">
        <v>45824</v>
      </c>
      <c r="H124" s="93" t="n"/>
      <c r="I124" s="118" t="n"/>
    </row>
    <row r="125">
      <c r="A125" s="236" t="inlineStr">
        <is>
          <t>Felicidade e Sintoma</t>
        </is>
      </c>
      <c r="B125" s="79" t="n">
        <v>1</v>
      </c>
      <c r="C125" s="68" t="n">
        <v>40</v>
      </c>
      <c r="D125" s="68">
        <f>B125*C125</f>
        <v/>
      </c>
      <c r="E125" s="76" t="n"/>
      <c r="F125" s="131">
        <f>D125+E125</f>
        <v/>
      </c>
      <c r="G125" s="83" t="n">
        <v>45854</v>
      </c>
      <c r="H125" s="93" t="n"/>
      <c r="I125" s="118" t="n"/>
    </row>
    <row r="126">
      <c r="A126" s="236" t="inlineStr">
        <is>
          <t>Las entrevistas preliminares y la entrada em análisis</t>
        </is>
      </c>
      <c r="B126" s="79" t="n">
        <v>1</v>
      </c>
      <c r="C126" s="68" t="n">
        <v>130</v>
      </c>
      <c r="D126" s="68">
        <f>B126*C124:C126</f>
        <v/>
      </c>
      <c r="E126" s="76" t="n"/>
      <c r="F126" s="131">
        <f>D126+E125</f>
        <v/>
      </c>
      <c r="G126" s="70" t="n">
        <v>45825</v>
      </c>
      <c r="H126" s="93" t="n"/>
      <c r="I126" s="118" t="n"/>
    </row>
    <row r="127">
      <c r="A127" s="236" t="inlineStr">
        <is>
          <t>Las entrevistas preliminares y la entrada em análisis</t>
        </is>
      </c>
      <c r="B127" s="79" t="n">
        <v>1</v>
      </c>
      <c r="C127" s="68" t="n">
        <v>130</v>
      </c>
      <c r="D127" s="68">
        <f>B127*C126:C127</f>
        <v/>
      </c>
      <c r="E127" s="90" t="n"/>
      <c r="F127" s="141">
        <f>D127+E127</f>
        <v/>
      </c>
      <c r="G127" s="70" t="n">
        <v>45825</v>
      </c>
      <c r="H127" s="93" t="n"/>
      <c r="I127" s="118" t="n"/>
    </row>
    <row r="128">
      <c r="A128" s="236" t="inlineStr">
        <is>
          <t>Las entrevistas preliminares y la entrada em análisis</t>
        </is>
      </c>
      <c r="B128" s="79" t="n">
        <v>1</v>
      </c>
      <c r="C128" s="68" t="n">
        <v>130</v>
      </c>
      <c r="D128" s="68">
        <f>B128*C127:C128</f>
        <v/>
      </c>
      <c r="E128" s="88" t="n"/>
      <c r="F128" s="135">
        <f>D128+E128</f>
        <v/>
      </c>
      <c r="G128" s="70" t="n">
        <v>45825</v>
      </c>
      <c r="H128" s="93" t="n"/>
      <c r="I128" s="136" t="n"/>
    </row>
    <row r="129">
      <c r="A129" s="236" t="inlineStr">
        <is>
          <t>Ruidos e Silêncio</t>
        </is>
      </c>
      <c r="B129" s="79" t="n">
        <v>1</v>
      </c>
      <c r="C129" s="68" t="n">
        <v>60</v>
      </c>
      <c r="D129" s="68">
        <f>B129*C128:C129</f>
        <v/>
      </c>
      <c r="E129" s="123" t="n"/>
      <c r="F129" s="179">
        <f>D129+E129</f>
        <v/>
      </c>
      <c r="G129" s="120" t="n">
        <v>45825</v>
      </c>
      <c r="H129" s="93" t="n"/>
      <c r="I129" s="154" t="n"/>
    </row>
    <row r="130">
      <c r="A130" s="236" t="inlineStr">
        <is>
          <t xml:space="preserve">Menos que  Um </t>
        </is>
      </c>
      <c r="B130" s="79" t="n">
        <v>1</v>
      </c>
      <c r="C130" s="68" t="n">
        <v>40</v>
      </c>
      <c r="D130" s="68">
        <f>C130</f>
        <v/>
      </c>
      <c r="E130" s="117" t="n"/>
      <c r="F130" s="131">
        <f>D130+E130</f>
        <v/>
      </c>
      <c r="G130" s="70" t="n">
        <v>45841</v>
      </c>
      <c r="H130" s="93" t="n"/>
      <c r="I130" s="118" t="n"/>
    </row>
    <row r="131">
      <c r="A131" s="236" t="inlineStr">
        <is>
          <t>Envejecer - El duelo por sí mesmo</t>
        </is>
      </c>
      <c r="B131" s="79" t="n">
        <v>1</v>
      </c>
      <c r="C131" s="68" t="n">
        <v>100</v>
      </c>
      <c r="D131" s="68">
        <f>C131</f>
        <v/>
      </c>
      <c r="E131" s="117" t="n"/>
      <c r="F131" s="131">
        <f>D131+E131</f>
        <v/>
      </c>
      <c r="G131" s="70" t="n">
        <v>45842</v>
      </c>
      <c r="H131" s="93" t="n"/>
      <c r="I131" s="118" t="n"/>
    </row>
    <row r="132">
      <c r="A132" s="236" t="inlineStr">
        <is>
          <t>Envejecer - El duelo por sí mesmo</t>
        </is>
      </c>
      <c r="B132" s="79" t="n">
        <v>1</v>
      </c>
      <c r="C132" s="68" t="n">
        <v>100</v>
      </c>
      <c r="D132" s="68">
        <f>C132</f>
        <v/>
      </c>
      <c r="E132" s="117" t="n"/>
      <c r="F132" s="131">
        <f>D132+E132</f>
        <v/>
      </c>
      <c r="G132" s="70" t="n">
        <v>44381</v>
      </c>
      <c r="H132" s="93" t="n"/>
      <c r="I132" s="118" t="n"/>
    </row>
    <row r="133">
      <c r="A133" s="236" t="inlineStr">
        <is>
          <t>Envejecer - El duelo por sí mesmo</t>
        </is>
      </c>
      <c r="B133" s="79" t="n">
        <v>1</v>
      </c>
      <c r="C133" s="68" t="n">
        <v>100</v>
      </c>
      <c r="D133" s="68">
        <f>C133</f>
        <v/>
      </c>
      <c r="E133" s="88" t="n"/>
      <c r="F133" s="131">
        <f>D133+E133</f>
        <v/>
      </c>
      <c r="G133" s="70" t="n">
        <v>42920</v>
      </c>
      <c r="H133" s="86" t="n"/>
      <c r="I133" s="136" t="n"/>
    </row>
    <row r="134">
      <c r="A134" s="236" t="inlineStr">
        <is>
          <t>Envejecer - El duelo por sí mesmo</t>
        </is>
      </c>
      <c r="B134" s="79" t="n">
        <v>1</v>
      </c>
      <c r="C134" s="68" t="n">
        <v>100</v>
      </c>
      <c r="D134" s="68">
        <f>C134</f>
        <v/>
      </c>
      <c r="E134" s="88" t="n"/>
      <c r="F134" s="131">
        <f>D134+E134</f>
        <v/>
      </c>
      <c r="G134" s="70" t="n">
        <v>41459</v>
      </c>
      <c r="H134" s="86" t="n"/>
      <c r="I134" s="136" t="n"/>
    </row>
    <row r="135">
      <c r="A135" s="236" t="inlineStr">
        <is>
          <t>Las entrevistas preliminares y la entrada em análisis</t>
        </is>
      </c>
      <c r="B135" s="79" t="n">
        <v>1</v>
      </c>
      <c r="C135" s="68" t="n">
        <v>130</v>
      </c>
      <c r="D135" s="68">
        <f>C135</f>
        <v/>
      </c>
      <c r="E135" s="90" t="n"/>
      <c r="F135" s="131">
        <f>D135+E135</f>
        <v/>
      </c>
      <c r="G135" s="91" t="n">
        <v>45842</v>
      </c>
      <c r="H135" s="93" t="n"/>
      <c r="I135" s="125" t="n"/>
    </row>
    <row r="136">
      <c r="A136" s="236" t="inlineStr">
        <is>
          <t>Envejecer - El duelo por sí mesmo</t>
        </is>
      </c>
      <c r="B136" s="79" t="n">
        <v>1</v>
      </c>
      <c r="C136" s="68" t="n">
        <v>100</v>
      </c>
      <c r="D136" s="68">
        <f>C136</f>
        <v/>
      </c>
      <c r="E136" s="90" t="n"/>
      <c r="F136" s="131">
        <f>D136+E136</f>
        <v/>
      </c>
      <c r="G136" s="120" t="n">
        <v>45845</v>
      </c>
      <c r="H136" s="93" t="n"/>
      <c r="I136" s="125" t="n"/>
    </row>
    <row r="137">
      <c r="A137" s="236" t="inlineStr">
        <is>
          <t>Como terminal los análisis</t>
        </is>
      </c>
      <c r="B137" s="79" t="n">
        <v>2</v>
      </c>
      <c r="C137" s="68" t="n">
        <v>120</v>
      </c>
      <c r="D137" s="68">
        <f>B137*C137</f>
        <v/>
      </c>
      <c r="E137" s="76" t="n"/>
      <c r="F137" s="131">
        <f>D137+E137</f>
        <v/>
      </c>
      <c r="G137" s="143" t="n">
        <v>45845</v>
      </c>
      <c r="H137" s="79" t="n"/>
      <c r="I137" s="118" t="n"/>
    </row>
    <row r="138" ht="15.75" customHeight="1" s="317">
      <c r="A138" s="236" t="inlineStr">
        <is>
          <t>Envejecer - El duelo por sí mesmo</t>
        </is>
      </c>
      <c r="B138" s="79" t="n">
        <v>1</v>
      </c>
      <c r="C138" s="68" t="n">
        <v>100</v>
      </c>
      <c r="D138" s="68">
        <f>C138</f>
        <v/>
      </c>
      <c r="E138" s="88" t="n"/>
      <c r="F138" s="131">
        <f>D138+E138</f>
        <v/>
      </c>
      <c r="G138" s="96" t="n">
        <v>45846</v>
      </c>
      <c r="H138" s="86" t="n"/>
      <c r="I138" s="136" t="n"/>
    </row>
    <row r="139">
      <c r="A139" s="236" t="inlineStr">
        <is>
          <t>Envejecer - El duelo por sí mesmo</t>
        </is>
      </c>
      <c r="B139" s="79" t="n">
        <v>1</v>
      </c>
      <c r="C139" s="68" t="n">
        <v>100</v>
      </c>
      <c r="D139" s="68">
        <f>C139</f>
        <v/>
      </c>
      <c r="E139" s="76" t="n"/>
      <c r="F139" s="131">
        <f>D139+E139</f>
        <v/>
      </c>
      <c r="G139" s="143" t="n">
        <v>45846</v>
      </c>
      <c r="H139" s="79" t="n"/>
      <c r="I139" s="118" t="n"/>
    </row>
    <row r="140">
      <c r="A140" s="236" t="inlineStr">
        <is>
          <t>Las entrevistas preliminares y la entrada em análisis</t>
        </is>
      </c>
      <c r="B140" s="165" t="n">
        <v>1</v>
      </c>
      <c r="C140" s="68" t="n">
        <v>130</v>
      </c>
      <c r="D140" s="68">
        <f>C140</f>
        <v/>
      </c>
      <c r="E140" s="76" t="n"/>
      <c r="F140" s="131">
        <f>D140+E140</f>
        <v/>
      </c>
      <c r="G140" s="143" t="n">
        <v>45846</v>
      </c>
      <c r="H140" s="79" t="n"/>
      <c r="I140" s="118" t="n"/>
    </row>
    <row r="141">
      <c r="A141" s="236" t="inlineStr">
        <is>
          <t>Las entrevistas preliminares y la entrada em análisis</t>
        </is>
      </c>
      <c r="B141" s="165" t="n">
        <v>1</v>
      </c>
      <c r="C141" s="68" t="n">
        <v>130</v>
      </c>
      <c r="D141" s="68">
        <f>C141</f>
        <v/>
      </c>
      <c r="E141" s="76" t="n"/>
      <c r="F141" s="131">
        <f>D141+E141</f>
        <v/>
      </c>
      <c r="G141" s="143" t="n">
        <v>45846</v>
      </c>
      <c r="H141" s="79" t="n"/>
      <c r="I141" s="118" t="n"/>
    </row>
    <row r="142">
      <c r="A142" s="236" t="inlineStr">
        <is>
          <t>Las entrevistas preliminares y la entrada em análisis</t>
        </is>
      </c>
      <c r="B142" s="165" t="n">
        <v>1</v>
      </c>
      <c r="C142" s="68" t="n">
        <v>130</v>
      </c>
      <c r="D142" s="68">
        <f>C142</f>
        <v/>
      </c>
      <c r="E142" s="76" t="n"/>
      <c r="F142" s="131">
        <f>D142+E142</f>
        <v/>
      </c>
      <c r="G142" s="143" t="n">
        <v>45847</v>
      </c>
      <c r="H142" s="79" t="n"/>
      <c r="I142" s="118" t="n"/>
    </row>
    <row r="143">
      <c r="A143" s="236" t="inlineStr">
        <is>
          <t>Envejecer - El duelo por sí mesmo     (abatido R$ 40,00 pagao a maior insc Jornada 2025)</t>
        </is>
      </c>
      <c r="B143" s="165" t="n">
        <v>1</v>
      </c>
      <c r="C143" s="68" t="n">
        <v>60</v>
      </c>
      <c r="D143" s="68">
        <f>C143</f>
        <v/>
      </c>
      <c r="E143" s="76" t="n"/>
      <c r="F143" s="131">
        <f>D143+E143</f>
        <v/>
      </c>
      <c r="G143" s="143" t="n">
        <v>45848</v>
      </c>
      <c r="H143" s="79" t="n"/>
      <c r="I143" s="118" t="n"/>
    </row>
    <row r="144">
      <c r="A144" s="236" t="inlineStr">
        <is>
          <t>Envejecer - El duelo por sí mesmo</t>
        </is>
      </c>
      <c r="B144" s="165" t="n">
        <v>1</v>
      </c>
      <c r="C144" s="68" t="n">
        <v>100</v>
      </c>
      <c r="D144" s="68">
        <f>C144</f>
        <v/>
      </c>
      <c r="E144" s="90" t="n"/>
      <c r="F144" s="131">
        <f>D144+E144</f>
        <v/>
      </c>
      <c r="G144" s="183" t="n">
        <v>45848</v>
      </c>
      <c r="H144" s="121" t="n"/>
      <c r="I144" s="154" t="n"/>
    </row>
    <row r="145">
      <c r="A145" s="236" t="inlineStr">
        <is>
          <t>Las entrevistas preliminares y la entrada em análisis</t>
        </is>
      </c>
      <c r="B145" s="165" t="n">
        <v>1</v>
      </c>
      <c r="C145" s="68" t="n">
        <v>130</v>
      </c>
      <c r="D145" s="68">
        <f>C145</f>
        <v/>
      </c>
      <c r="E145" s="88" t="n">
        <v>15</v>
      </c>
      <c r="F145" s="131">
        <f>D145+E145</f>
        <v/>
      </c>
      <c r="G145" s="185" t="n">
        <v>45849</v>
      </c>
      <c r="H145" s="86" t="n"/>
      <c r="I145" s="136" t="n"/>
    </row>
    <row r="146">
      <c r="A146" s="236" t="inlineStr">
        <is>
          <t>Las entrevistas preliminares y la entrada em análisis</t>
        </is>
      </c>
      <c r="B146" s="165" t="n">
        <v>1</v>
      </c>
      <c r="C146" s="68" t="n">
        <v>130</v>
      </c>
      <c r="D146" s="68">
        <f>C146</f>
        <v/>
      </c>
      <c r="E146" s="76" t="n">
        <v>15</v>
      </c>
      <c r="F146" s="131">
        <f>D146+E146</f>
        <v/>
      </c>
      <c r="G146" s="185" t="n">
        <v>45849</v>
      </c>
      <c r="H146" s="79" t="n"/>
      <c r="I146" s="118" t="n"/>
    </row>
    <row r="147">
      <c r="A147" s="236" t="inlineStr">
        <is>
          <t>Envejecer - El duelo por sí mesmo</t>
        </is>
      </c>
      <c r="B147" s="165" t="n">
        <v>1</v>
      </c>
      <c r="C147" s="68" t="n">
        <v>100</v>
      </c>
      <c r="D147" s="68">
        <f>C147</f>
        <v/>
      </c>
      <c r="E147" s="76" t="n"/>
      <c r="F147" s="131">
        <f>D147+E147</f>
        <v/>
      </c>
      <c r="G147" s="185" t="n">
        <v>45849</v>
      </c>
      <c r="H147" s="79" t="n"/>
      <c r="I147" s="118" t="n"/>
    </row>
    <row r="148">
      <c r="A148" s="236" t="inlineStr">
        <is>
          <t>Envejecer - El duelo por sí mesmo</t>
        </is>
      </c>
      <c r="B148" s="165" t="n">
        <v>1</v>
      </c>
      <c r="C148" s="68" t="n">
        <v>100</v>
      </c>
      <c r="D148" s="68">
        <f>C148</f>
        <v/>
      </c>
      <c r="E148" s="90" t="n"/>
      <c r="F148" s="131">
        <f>D148+E148</f>
        <v/>
      </c>
      <c r="G148" s="185" t="n">
        <v>45854</v>
      </c>
      <c r="H148" s="93" t="n"/>
      <c r="I148" s="125" t="n"/>
    </row>
    <row r="149">
      <c r="A149" s="236" t="inlineStr">
        <is>
          <t>Envejecer - El duelo por sí mesmo</t>
        </is>
      </c>
      <c r="B149" s="165" t="n">
        <v>1</v>
      </c>
      <c r="C149" s="68" t="n">
        <v>100</v>
      </c>
      <c r="D149" s="68">
        <f>C149</f>
        <v/>
      </c>
      <c r="E149" s="90" t="n"/>
      <c r="F149" s="131">
        <f>D149+E149</f>
        <v/>
      </c>
      <c r="G149" s="185" t="n">
        <v>45854</v>
      </c>
      <c r="H149" s="93" t="n"/>
      <c r="I149" s="125" t="n"/>
    </row>
    <row r="150">
      <c r="A150" s="236" t="inlineStr">
        <is>
          <t>Las entrevistas preliminares y la entrada em análisis</t>
        </is>
      </c>
      <c r="B150" s="165" t="n">
        <v>1</v>
      </c>
      <c r="C150" s="187" t="n">
        <v>130</v>
      </c>
      <c r="D150" s="68">
        <f>C150</f>
        <v/>
      </c>
      <c r="E150" s="76" t="n"/>
      <c r="F150" s="131">
        <f>D150+E150</f>
        <v/>
      </c>
      <c r="G150" s="185" t="n">
        <v>45854</v>
      </c>
      <c r="H150" s="79" t="n"/>
      <c r="I150" s="118" t="n"/>
    </row>
    <row r="151">
      <c r="A151" s="236" t="inlineStr">
        <is>
          <t>Las entrevistas preliminares y la entrada em análisis</t>
        </is>
      </c>
      <c r="B151" s="165" t="n">
        <v>1</v>
      </c>
      <c r="C151" s="187" t="n">
        <v>130</v>
      </c>
      <c r="D151" s="68">
        <f>C151</f>
        <v/>
      </c>
      <c r="E151" s="76" t="n"/>
      <c r="F151" s="131">
        <f>D151+E151</f>
        <v/>
      </c>
      <c r="G151" s="185" t="n">
        <v>45854</v>
      </c>
      <c r="H151" s="79" t="n"/>
      <c r="I151" s="152" t="n"/>
    </row>
    <row r="152">
      <c r="A152" s="236" t="inlineStr">
        <is>
          <t>Clinica do Excesso</t>
        </is>
      </c>
      <c r="B152" s="165" t="n">
        <v>1</v>
      </c>
      <c r="C152" s="68" t="n">
        <v>120</v>
      </c>
      <c r="D152" s="68">
        <f>C152</f>
        <v/>
      </c>
      <c r="E152" s="76" t="n"/>
      <c r="F152" s="131">
        <f>D152+E152</f>
        <v/>
      </c>
      <c r="G152" s="185" t="n">
        <v>45854</v>
      </c>
      <c r="H152" s="79" t="n"/>
      <c r="I152" s="118" t="n"/>
    </row>
    <row r="153">
      <c r="A153" s="236" t="inlineStr">
        <is>
          <t>Clinica do Excesso</t>
        </is>
      </c>
      <c r="B153" s="165" t="n">
        <v>1</v>
      </c>
      <c r="C153" s="68" t="n">
        <v>120</v>
      </c>
      <c r="D153" s="68">
        <f>C153</f>
        <v/>
      </c>
      <c r="E153" s="90" t="n"/>
      <c r="F153" s="131">
        <f>D153+E153</f>
        <v/>
      </c>
      <c r="G153" s="185" t="n">
        <v>45855</v>
      </c>
      <c r="H153" s="93" t="n"/>
      <c r="I153" s="125" t="n"/>
    </row>
    <row r="154">
      <c r="A154" s="236" t="inlineStr">
        <is>
          <t>Las entrevistas preliminares y la entrada em análisis</t>
        </is>
      </c>
      <c r="B154" s="165" t="n">
        <v>1</v>
      </c>
      <c r="C154" s="68" t="n">
        <v>130</v>
      </c>
      <c r="D154" s="68">
        <f>C154</f>
        <v/>
      </c>
      <c r="E154" s="76" t="n"/>
      <c r="F154" s="131">
        <f>D154+E154</f>
        <v/>
      </c>
      <c r="G154" s="185" t="n">
        <v>45855</v>
      </c>
      <c r="H154" s="79" t="n"/>
      <c r="I154" s="118" t="n"/>
    </row>
    <row r="155">
      <c r="A155" s="236" t="inlineStr">
        <is>
          <t>Las entrevistas preliminares y la entrada em análisis</t>
        </is>
      </c>
      <c r="B155" s="165" t="n">
        <v>1</v>
      </c>
      <c r="C155" s="68" t="n">
        <v>130</v>
      </c>
      <c r="D155" s="68">
        <f>C155</f>
        <v/>
      </c>
      <c r="E155" s="76" t="n"/>
      <c r="F155" s="131">
        <f>D155+E155</f>
        <v/>
      </c>
      <c r="G155" s="185" t="n">
        <v>45859</v>
      </c>
      <c r="H155" s="79" t="n"/>
      <c r="I155" s="118" t="n"/>
    </row>
    <row r="156">
      <c r="A156" s="236" t="inlineStr">
        <is>
          <t>O campo Uniano</t>
        </is>
      </c>
      <c r="B156" s="165" t="n">
        <v>1</v>
      </c>
      <c r="C156" s="68" t="n">
        <v>130</v>
      </c>
      <c r="D156" s="68">
        <f>C156</f>
        <v/>
      </c>
      <c r="E156" s="76" t="n"/>
      <c r="F156" s="131">
        <f>D156+E156</f>
        <v/>
      </c>
      <c r="G156" s="185" t="n">
        <v>45859</v>
      </c>
      <c r="H156" s="79" t="n"/>
      <c r="I156" s="118" t="n"/>
    </row>
    <row r="157">
      <c r="A157" s="236" t="inlineStr">
        <is>
          <t>O campo Uniano</t>
        </is>
      </c>
      <c r="B157" s="165" t="n">
        <v>1</v>
      </c>
      <c r="C157" s="68" t="n">
        <v>130</v>
      </c>
      <c r="D157" s="68">
        <f>C157</f>
        <v/>
      </c>
      <c r="E157" s="76" t="n"/>
      <c r="F157" s="131">
        <f>D157+E157</f>
        <v/>
      </c>
      <c r="G157" s="185" t="n">
        <v>45859</v>
      </c>
      <c r="H157" s="79" t="n"/>
      <c r="I157" s="118" t="n"/>
    </row>
    <row r="158">
      <c r="A158" s="236" t="inlineStr">
        <is>
          <t>O campo Uniano</t>
        </is>
      </c>
      <c r="B158" s="165" t="n">
        <v>18</v>
      </c>
      <c r="C158" s="68" t="n">
        <v>130</v>
      </c>
      <c r="D158" s="68">
        <f>C158</f>
        <v/>
      </c>
      <c r="E158" s="76" t="n"/>
      <c r="F158" s="131">
        <f>D158+E158</f>
        <v/>
      </c>
      <c r="G158" s="185" t="n">
        <v>45859</v>
      </c>
      <c r="H158" s="79" t="n"/>
      <c r="I158" s="118" t="n"/>
    </row>
    <row r="159">
      <c r="A159" s="236" t="inlineStr">
        <is>
          <t>Las entrevistas preliminares y la entrada em análisis</t>
        </is>
      </c>
      <c r="B159" s="165" t="n">
        <v>1</v>
      </c>
      <c r="C159" s="68" t="n">
        <v>130</v>
      </c>
      <c r="D159" s="68">
        <f>C159</f>
        <v/>
      </c>
      <c r="E159" s="76" t="n"/>
      <c r="F159" s="131">
        <f>D159+E159</f>
        <v/>
      </c>
      <c r="G159" s="185" t="n">
        <v>45859</v>
      </c>
      <c r="H159" s="79" t="n"/>
      <c r="I159" s="118" t="n"/>
    </row>
    <row r="160">
      <c r="A160" s="236" t="inlineStr">
        <is>
          <t>Las entrevistas preliminares y la entrada em análisis</t>
        </is>
      </c>
      <c r="B160" s="165" t="n">
        <v>1</v>
      </c>
      <c r="C160" s="68" t="n">
        <v>130</v>
      </c>
      <c r="D160" s="68">
        <f>C160</f>
        <v/>
      </c>
      <c r="E160" s="76" t="n"/>
      <c r="F160" s="131">
        <f>D160+E160</f>
        <v/>
      </c>
      <c r="G160" s="185" t="n">
        <v>45859</v>
      </c>
      <c r="H160" s="79" t="n"/>
      <c r="I160" s="118" t="n"/>
    </row>
    <row r="161">
      <c r="A161" s="236" t="inlineStr">
        <is>
          <t>Las entrevistas preliminares y la entrada em análisis</t>
        </is>
      </c>
      <c r="B161" s="165" t="n">
        <v>1</v>
      </c>
      <c r="C161" s="68" t="n">
        <v>130</v>
      </c>
      <c r="D161" s="68">
        <f>C161</f>
        <v/>
      </c>
      <c r="E161" s="117" t="n">
        <v>15</v>
      </c>
      <c r="F161" s="131">
        <f>D161+E161</f>
        <v/>
      </c>
      <c r="G161" s="143" t="n">
        <v>45859</v>
      </c>
      <c r="H161" s="79" t="n"/>
      <c r="I161" s="118" t="n"/>
    </row>
    <row r="162">
      <c r="A162" s="236" t="inlineStr">
        <is>
          <t>Envejecer - El duelo por sí mesmo</t>
        </is>
      </c>
      <c r="B162" s="165" t="n">
        <v>1</v>
      </c>
      <c r="C162" s="68" t="n">
        <v>100</v>
      </c>
      <c r="D162" s="68">
        <f>C162</f>
        <v/>
      </c>
      <c r="E162" s="117" t="n"/>
      <c r="F162" s="131">
        <f>D162+E162</f>
        <v/>
      </c>
      <c r="G162" s="143" t="n">
        <v>45859</v>
      </c>
      <c r="H162" s="79" t="n"/>
      <c r="I162" s="118" t="n"/>
    </row>
    <row r="163">
      <c r="A163" s="236" t="inlineStr">
        <is>
          <t>Envejecer - El duelo por sí mesmo</t>
        </is>
      </c>
      <c r="B163" s="165" t="n">
        <v>1</v>
      </c>
      <c r="C163" s="68" t="n">
        <v>100</v>
      </c>
      <c r="D163" s="68">
        <f>C163</f>
        <v/>
      </c>
      <c r="E163" s="76" t="n"/>
      <c r="F163" s="131">
        <f>D163+E163</f>
        <v/>
      </c>
      <c r="G163" s="143" t="n">
        <v>45859</v>
      </c>
      <c r="H163" s="79" t="n"/>
      <c r="I163" s="118" t="n"/>
    </row>
    <row r="164">
      <c r="A164" s="236" t="inlineStr">
        <is>
          <t>Las entrevistas preliminares y la entrada em análisis</t>
        </is>
      </c>
      <c r="B164" s="165" t="n">
        <v>1</v>
      </c>
      <c r="C164" s="68" t="n">
        <v>130</v>
      </c>
      <c r="D164" s="68">
        <f>C164</f>
        <v/>
      </c>
      <c r="E164" s="90" t="n">
        <v>15</v>
      </c>
      <c r="F164" s="131">
        <f>D164+E164</f>
        <v/>
      </c>
      <c r="G164" s="192" t="n">
        <v>45859</v>
      </c>
      <c r="H164" s="94" t="n"/>
      <c r="I164" s="125" t="n"/>
    </row>
    <row r="165">
      <c r="A165" s="236" t="inlineStr">
        <is>
          <t>Las entrevistas preliminares y la entrada em análisis</t>
        </is>
      </c>
      <c r="B165" s="165" t="n">
        <v>1</v>
      </c>
      <c r="C165" s="68" t="n">
        <v>130</v>
      </c>
      <c r="D165" s="68">
        <f>C165</f>
        <v/>
      </c>
      <c r="E165" s="76" t="n"/>
      <c r="F165" s="131">
        <f>D165+E165</f>
        <v/>
      </c>
      <c r="G165" s="185" t="n">
        <v>45860</v>
      </c>
      <c r="H165" s="236" t="n"/>
      <c r="I165" s="118" t="n"/>
    </row>
    <row r="166">
      <c r="A166" s="236" t="inlineStr">
        <is>
          <t>Las entrevistas preliminares y la entrada em análisis</t>
        </is>
      </c>
      <c r="B166" s="165" t="n">
        <v>1</v>
      </c>
      <c r="C166" s="68" t="n">
        <v>130</v>
      </c>
      <c r="D166" s="68">
        <f>C166</f>
        <v/>
      </c>
      <c r="E166" s="76" t="n">
        <v>145</v>
      </c>
      <c r="F166" s="131">
        <f>D166+E166</f>
        <v/>
      </c>
      <c r="G166" s="192" t="n">
        <v>45860</v>
      </c>
      <c r="H166" s="236" t="n"/>
      <c r="I166" s="118" t="n"/>
    </row>
    <row r="167">
      <c r="A167" s="236" t="inlineStr">
        <is>
          <t>Aspaixões do parlêtre   (Consignação)</t>
        </is>
      </c>
      <c r="B167" s="165" t="n">
        <v>1</v>
      </c>
      <c r="C167" s="68" t="n">
        <v>70</v>
      </c>
      <c r="D167" s="68">
        <f>C167</f>
        <v/>
      </c>
      <c r="E167" s="76" t="n"/>
      <c r="F167" s="131">
        <f>D167+E167</f>
        <v/>
      </c>
      <c r="G167" s="185" t="n">
        <v>45860</v>
      </c>
      <c r="H167" s="236" t="n"/>
      <c r="I167" s="118" t="n"/>
    </row>
    <row r="168">
      <c r="A168" s="236" t="inlineStr">
        <is>
          <t>Envejecer - El duelo por sí mesmo</t>
        </is>
      </c>
      <c r="B168" s="165" t="n">
        <v>1</v>
      </c>
      <c r="C168" s="68" t="n">
        <v>100</v>
      </c>
      <c r="D168" s="68">
        <f>C168</f>
        <v/>
      </c>
      <c r="E168" s="76" t="n"/>
      <c r="F168" s="131">
        <f>D168+E168</f>
        <v/>
      </c>
      <c r="G168" s="192" t="n">
        <v>45860</v>
      </c>
      <c r="H168" s="236" t="n"/>
      <c r="I168" s="118" t="n"/>
    </row>
    <row r="169">
      <c r="A169" s="236" t="inlineStr">
        <is>
          <t>Envejecer - El duelo por sí mesmo</t>
        </is>
      </c>
      <c r="B169" s="165" t="n">
        <v>1</v>
      </c>
      <c r="C169" s="68" t="n">
        <v>100</v>
      </c>
      <c r="D169" s="68">
        <f>C169</f>
        <v/>
      </c>
      <c r="E169" s="90" t="n"/>
      <c r="F169" s="131">
        <f>D169+E169</f>
        <v/>
      </c>
      <c r="G169" s="185" t="n">
        <v>45860</v>
      </c>
      <c r="H169" s="94" t="n"/>
      <c r="I169" s="125" t="n"/>
    </row>
    <row r="170">
      <c r="A170" s="236" t="inlineStr">
        <is>
          <t>Envejecer - El duelo por sí mesmo</t>
        </is>
      </c>
      <c r="B170" s="165" t="n">
        <v>1</v>
      </c>
      <c r="C170" s="171" t="inlineStr">
        <is>
          <t>Doação</t>
        </is>
      </c>
      <c r="D170" s="68" t="n">
        <v>100</v>
      </c>
      <c r="E170" s="76" t="n"/>
      <c r="F170" s="131">
        <f>D170+E170</f>
        <v/>
      </c>
      <c r="G170" s="192" t="n">
        <v>45861</v>
      </c>
      <c r="H170" s="236" t="n"/>
      <c r="I170" s="158" t="n"/>
    </row>
    <row r="171">
      <c r="A171" s="236" t="inlineStr">
        <is>
          <t>Envejecer - El duelo por sí mesmo</t>
        </is>
      </c>
      <c r="B171" s="165" t="n">
        <v>1</v>
      </c>
      <c r="C171" s="68" t="n">
        <v>100</v>
      </c>
      <c r="D171" s="68" t="n">
        <v>100</v>
      </c>
      <c r="E171" s="76" t="n"/>
      <c r="F171" s="131">
        <f>D171+E171</f>
        <v/>
      </c>
      <c r="G171" s="185" t="n">
        <v>45861</v>
      </c>
      <c r="H171" s="236" t="n"/>
      <c r="I171" s="118" t="n"/>
    </row>
    <row r="172">
      <c r="A172" s="236" t="inlineStr">
        <is>
          <t>Envejecer - El duelo por sí mesmo</t>
        </is>
      </c>
      <c r="B172" s="165" t="n">
        <v>1</v>
      </c>
      <c r="C172" s="68" t="n">
        <v>100</v>
      </c>
      <c r="D172" s="68" t="n">
        <v>100</v>
      </c>
      <c r="E172" s="76" t="n"/>
      <c r="F172" s="131">
        <f>D172+E172</f>
        <v/>
      </c>
      <c r="G172" s="192" t="n">
        <v>45861</v>
      </c>
      <c r="H172" s="236" t="n"/>
      <c r="I172" s="118" t="n"/>
    </row>
    <row r="173">
      <c r="A173" s="236" t="inlineStr">
        <is>
          <t>Envejecer - El duelo por sí mesmo</t>
        </is>
      </c>
      <c r="B173" s="165" t="n">
        <v>1</v>
      </c>
      <c r="C173" s="68" t="n">
        <v>100</v>
      </c>
      <c r="D173" s="68" t="n">
        <v>100</v>
      </c>
      <c r="E173" s="90" t="n"/>
      <c r="F173" s="131">
        <f>D173+E173</f>
        <v/>
      </c>
      <c r="G173" s="185" t="n">
        <v>45861</v>
      </c>
      <c r="H173" s="94" t="n"/>
      <c r="I173" s="125" t="n"/>
    </row>
    <row r="174">
      <c r="A174" s="236" t="inlineStr">
        <is>
          <t>Envejecer - El duelo por sí mesmo</t>
        </is>
      </c>
      <c r="B174" s="165" t="n">
        <v>1</v>
      </c>
      <c r="C174" s="68" t="n">
        <v>100</v>
      </c>
      <c r="D174" s="68" t="n">
        <v>100</v>
      </c>
      <c r="E174" s="90" t="n"/>
      <c r="F174" s="131">
        <f>D174+E174</f>
        <v/>
      </c>
      <c r="G174" s="192" t="n">
        <v>45861</v>
      </c>
      <c r="H174" s="94" t="n"/>
      <c r="I174" s="125" t="n"/>
    </row>
    <row r="175">
      <c r="A175" s="236" t="inlineStr">
        <is>
          <t>Envejecer - El duelo por sí mesmo</t>
        </is>
      </c>
      <c r="B175" s="165" t="n">
        <v>1</v>
      </c>
      <c r="C175" s="68" t="n">
        <v>100</v>
      </c>
      <c r="D175" s="68" t="n">
        <v>100</v>
      </c>
      <c r="E175" s="90" t="n"/>
      <c r="F175" s="131">
        <f>D175+E175</f>
        <v/>
      </c>
      <c r="G175" s="185" t="n">
        <v>45861</v>
      </c>
      <c r="H175" s="94" t="n"/>
      <c r="I175" s="125" t="n"/>
    </row>
    <row r="176">
      <c r="A176" s="236" t="inlineStr">
        <is>
          <t>Envejecer - El duelo por sí mesmo</t>
        </is>
      </c>
      <c r="B176" s="165" t="n">
        <v>1</v>
      </c>
      <c r="C176" s="68" t="n">
        <v>100</v>
      </c>
      <c r="D176" s="68" t="n">
        <v>100</v>
      </c>
      <c r="E176" s="90" t="n"/>
      <c r="F176" s="131">
        <f>D176+E176</f>
        <v/>
      </c>
      <c r="G176" s="192" t="n">
        <v>45861</v>
      </c>
      <c r="H176" s="94" t="n"/>
      <c r="I176" s="118" t="n"/>
    </row>
    <row r="177" ht="15" customHeight="1" s="317">
      <c r="A177" s="236" t="inlineStr">
        <is>
          <t>Las entrevistas preliminares y la entrada em análisis</t>
        </is>
      </c>
      <c r="B177" s="165" t="n">
        <v>1</v>
      </c>
      <c r="C177" s="68" t="n">
        <v>130</v>
      </c>
      <c r="D177" s="68">
        <f>C177</f>
        <v/>
      </c>
      <c r="E177" s="90" t="n"/>
      <c r="F177" s="131">
        <f>D177+E177</f>
        <v/>
      </c>
      <c r="G177" s="185" t="n">
        <v>45861</v>
      </c>
      <c r="H177" s="84" t="n"/>
      <c r="I177" s="118" t="n"/>
    </row>
    <row r="178">
      <c r="A178" s="236" t="inlineStr">
        <is>
          <t>Las entrevistas preliminares y la entrada em análisis</t>
        </is>
      </c>
      <c r="B178" s="165" t="n">
        <v>1</v>
      </c>
      <c r="C178" s="68" t="n">
        <v>130</v>
      </c>
      <c r="D178" s="68">
        <f>C178</f>
        <v/>
      </c>
      <c r="E178" s="90" t="n"/>
      <c r="F178" s="131">
        <f>D178+E178</f>
        <v/>
      </c>
      <c r="G178" s="192" t="n">
        <v>45861</v>
      </c>
      <c r="H178" s="94" t="n"/>
      <c r="I178" s="118" t="n"/>
    </row>
    <row r="179">
      <c r="A179" s="236" t="inlineStr">
        <is>
          <t>O campo Uniano</t>
        </is>
      </c>
      <c r="B179" s="165" t="n">
        <v>1</v>
      </c>
      <c r="C179" s="68" t="n">
        <v>130</v>
      </c>
      <c r="D179" s="68">
        <f>C179</f>
        <v/>
      </c>
      <c r="E179" s="90" t="n"/>
      <c r="F179" s="131">
        <f>D179+E179</f>
        <v/>
      </c>
      <c r="G179" s="185" t="n">
        <v>45861</v>
      </c>
      <c r="H179" s="94" t="n"/>
      <c r="I179" s="125" t="n"/>
    </row>
    <row r="180">
      <c r="A180" s="236" t="inlineStr">
        <is>
          <t>Envejecer - El duelo por sí mesmo</t>
        </is>
      </c>
      <c r="B180" s="165" t="n">
        <v>1</v>
      </c>
      <c r="C180" s="68" t="n">
        <v>100</v>
      </c>
      <c r="D180" s="68">
        <f>C180</f>
        <v/>
      </c>
      <c r="E180" s="90" t="n"/>
      <c r="F180" s="131">
        <f>D180+E180</f>
        <v/>
      </c>
      <c r="G180" s="192" t="n">
        <v>45868</v>
      </c>
      <c r="H180" s="94" t="n"/>
      <c r="I180" s="125" t="n"/>
    </row>
    <row r="181">
      <c r="A181" s="236" t="inlineStr">
        <is>
          <t>Envejecer - El duelo por sí mesmo</t>
        </is>
      </c>
      <c r="B181" s="165" t="n">
        <v>1</v>
      </c>
      <c r="C181" s="68" t="n">
        <v>100</v>
      </c>
      <c r="D181" s="68">
        <f>C181</f>
        <v/>
      </c>
      <c r="E181" s="90" t="n"/>
      <c r="F181" s="131">
        <f>D181+E181</f>
        <v/>
      </c>
      <c r="G181" s="192" t="n">
        <v>45868</v>
      </c>
      <c r="H181" s="94" t="n"/>
      <c r="I181" s="125" t="n"/>
    </row>
    <row r="182">
      <c r="A182" s="236" t="inlineStr">
        <is>
          <t>Envejecer - A Função do Pai</t>
        </is>
      </c>
      <c r="B182" s="165" t="n">
        <v>1</v>
      </c>
      <c r="C182" s="68" t="n">
        <v>60</v>
      </c>
      <c r="D182" s="68">
        <f>C182</f>
        <v/>
      </c>
      <c r="E182" s="90" t="n"/>
      <c r="F182" s="131">
        <f>D182+E182</f>
        <v/>
      </c>
      <c r="G182" s="192" t="n">
        <v>45869</v>
      </c>
      <c r="H182" s="94" t="n"/>
      <c r="I182" s="125" t="n"/>
    </row>
    <row r="183">
      <c r="A183" s="236" t="inlineStr">
        <is>
          <t>Felicidade e Sintoma</t>
        </is>
      </c>
      <c r="B183" s="165" t="n">
        <v>1</v>
      </c>
      <c r="C183" s="68" t="n">
        <v>40</v>
      </c>
      <c r="D183" s="68">
        <f>C183</f>
        <v/>
      </c>
      <c r="E183" s="90" t="n"/>
      <c r="F183" s="131">
        <f>D183+E183</f>
        <v/>
      </c>
      <c r="G183" s="198" t="n">
        <v>45869</v>
      </c>
      <c r="H183" s="94" t="n"/>
      <c r="I183" s="125" t="n"/>
    </row>
    <row r="184">
      <c r="A184" s="236" t="inlineStr">
        <is>
          <t>Las entrevistas preliminares y la entrada em análisis</t>
        </is>
      </c>
      <c r="B184" s="165" t="n">
        <v>1</v>
      </c>
      <c r="C184" s="68" t="n">
        <v>130</v>
      </c>
      <c r="D184" s="68">
        <f>C184</f>
        <v/>
      </c>
      <c r="E184" s="90" t="n"/>
      <c r="F184" s="131" t="n">
        <v>130</v>
      </c>
      <c r="G184" s="185" t="n">
        <v>45870</v>
      </c>
      <c r="H184" s="94" t="n"/>
      <c r="I184" s="125" t="n"/>
    </row>
    <row r="185">
      <c r="A185" s="236" t="inlineStr">
        <is>
          <t>As Paixões do parlêtre</t>
        </is>
      </c>
      <c r="B185" s="165" t="n">
        <v>1</v>
      </c>
      <c r="C185" s="68" t="n">
        <v>100</v>
      </c>
      <c r="D185" s="68">
        <f>C185</f>
        <v/>
      </c>
      <c r="E185" s="90" t="n"/>
      <c r="F185" s="131">
        <f>D185+E185</f>
        <v/>
      </c>
      <c r="G185" s="192" t="n">
        <v>45870</v>
      </c>
      <c r="H185" s="94" t="n"/>
      <c r="I185" s="125" t="n"/>
    </row>
    <row r="186">
      <c r="A186" s="236" t="inlineStr">
        <is>
          <t>Clinica do Excesso</t>
        </is>
      </c>
      <c r="B186" s="165" t="n">
        <v>1</v>
      </c>
      <c r="C186" s="68" t="n">
        <v>120</v>
      </c>
      <c r="D186" s="68">
        <f>C186</f>
        <v/>
      </c>
      <c r="E186" s="90" t="n"/>
      <c r="F186" s="131">
        <f>D186+E186</f>
        <v/>
      </c>
      <c r="G186" s="185" t="n">
        <v>45873</v>
      </c>
      <c r="H186" s="94" t="n"/>
      <c r="I186" s="196" t="n"/>
    </row>
    <row r="187">
      <c r="A187" s="236" t="inlineStr">
        <is>
          <t>Clinica do Excesso</t>
        </is>
      </c>
      <c r="B187" s="165" t="n">
        <v>1</v>
      </c>
      <c r="C187" s="68" t="n">
        <v>120</v>
      </c>
      <c r="D187" s="68">
        <f>C187</f>
        <v/>
      </c>
      <c r="E187" s="90" t="n"/>
      <c r="F187" s="131">
        <f>D187+E187</f>
        <v/>
      </c>
      <c r="G187" s="192" t="n">
        <v>45873</v>
      </c>
      <c r="H187" s="94" t="n"/>
      <c r="I187" s="196" t="n"/>
    </row>
    <row r="188">
      <c r="A188" s="236" t="inlineStr">
        <is>
          <t>Clinica do Excesso</t>
        </is>
      </c>
      <c r="B188" s="165" t="n">
        <v>1</v>
      </c>
      <c r="C188" s="68" t="n">
        <v>120</v>
      </c>
      <c r="D188" s="68">
        <f>C188</f>
        <v/>
      </c>
      <c r="E188" s="76" t="n"/>
      <c r="F188" s="131">
        <f>D188+E188</f>
        <v/>
      </c>
      <c r="G188" s="185" t="n">
        <v>45873</v>
      </c>
      <c r="H188" s="165" t="n"/>
      <c r="I188" s="112" t="n"/>
    </row>
    <row r="189">
      <c r="A189" s="236" t="inlineStr">
        <is>
          <t>Clinica do Excesso</t>
        </is>
      </c>
      <c r="B189" s="165" t="n">
        <v>1</v>
      </c>
      <c r="C189" s="68" t="n">
        <v>120</v>
      </c>
      <c r="D189" s="68">
        <f>C189</f>
        <v/>
      </c>
      <c r="E189" s="76" t="n"/>
      <c r="F189" s="131">
        <f>D189+E189</f>
        <v/>
      </c>
      <c r="G189" s="192" t="n">
        <v>45873</v>
      </c>
      <c r="H189" s="165" t="n"/>
      <c r="I189" s="112" t="n"/>
    </row>
    <row r="190">
      <c r="A190" s="236" t="inlineStr">
        <is>
          <t>Clinica do Excesso</t>
        </is>
      </c>
      <c r="B190" s="165" t="n">
        <v>1</v>
      </c>
      <c r="C190" s="68" t="n">
        <v>120</v>
      </c>
      <c r="D190" s="68">
        <f>C190</f>
        <v/>
      </c>
      <c r="E190" s="76" t="n"/>
      <c r="F190" s="131">
        <f>D190+E190</f>
        <v/>
      </c>
      <c r="G190" s="185" t="n">
        <v>45873</v>
      </c>
      <c r="H190" s="165" t="n"/>
      <c r="I190" s="112" t="n"/>
    </row>
    <row r="191">
      <c r="A191" s="236" t="inlineStr">
        <is>
          <t>Envejecer</t>
        </is>
      </c>
      <c r="B191" s="165" t="n">
        <v>1</v>
      </c>
      <c r="C191" s="68" t="n">
        <v>100</v>
      </c>
      <c r="D191" s="68">
        <f>C191</f>
        <v/>
      </c>
      <c r="E191" s="76" t="n"/>
      <c r="F191" s="131">
        <f>D191+E191</f>
        <v/>
      </c>
      <c r="G191" s="192" t="n">
        <v>45873</v>
      </c>
      <c r="H191" s="165" t="n"/>
      <c r="I191" s="112" t="n"/>
    </row>
    <row r="192">
      <c r="A192" s="236" t="inlineStr">
        <is>
          <t>Envejecer</t>
        </is>
      </c>
      <c r="B192" s="165" t="n">
        <v>1</v>
      </c>
      <c r="C192" s="68" t="n">
        <v>100</v>
      </c>
      <c r="D192" s="68">
        <f>C192</f>
        <v/>
      </c>
      <c r="E192" s="90" t="n">
        <v>15</v>
      </c>
      <c r="F192" s="131">
        <f>D192+E192</f>
        <v/>
      </c>
      <c r="G192" s="185" t="inlineStr">
        <is>
          <t>05//08/2025</t>
        </is>
      </c>
      <c r="H192" s="94" t="n"/>
      <c r="I192" s="112" t="n"/>
    </row>
    <row r="193">
      <c r="A193" s="236" t="inlineStr">
        <is>
          <t xml:space="preserve">Menos que UM </t>
        </is>
      </c>
      <c r="B193" s="165" t="n">
        <v>1</v>
      </c>
      <c r="C193" s="68" t="n">
        <v>40</v>
      </c>
      <c r="D193" s="68">
        <f>C193</f>
        <v/>
      </c>
      <c r="E193" s="76" t="n"/>
      <c r="F193" s="131">
        <f>D193+E193</f>
        <v/>
      </c>
      <c r="G193" s="192" t="n">
        <v>45874</v>
      </c>
      <c r="H193" s="165" t="n"/>
      <c r="I193" s="112" t="n"/>
    </row>
    <row r="194">
      <c r="A194" s="236" t="inlineStr">
        <is>
          <t>Memória, Linguagem e Mente</t>
        </is>
      </c>
      <c r="B194" s="165" t="n">
        <v>1</v>
      </c>
      <c r="C194" s="68" t="n">
        <v>60</v>
      </c>
      <c r="D194" s="68">
        <f>C194</f>
        <v/>
      </c>
      <c r="E194" s="76" t="n"/>
      <c r="F194" s="131">
        <f>D194+E194</f>
        <v/>
      </c>
      <c r="G194" s="185" t="n">
        <v>45874</v>
      </c>
      <c r="H194" s="165" t="n"/>
      <c r="I194" s="112" t="n"/>
    </row>
    <row r="195">
      <c r="A195" s="236" t="inlineStr">
        <is>
          <t>Envejecer</t>
        </is>
      </c>
      <c r="B195" s="165" t="n">
        <v>1</v>
      </c>
      <c r="C195" s="68" t="n">
        <v>100</v>
      </c>
      <c r="D195" s="68">
        <f>C195</f>
        <v/>
      </c>
      <c r="E195" s="76" t="n"/>
      <c r="F195" s="131">
        <f>D195+E195</f>
        <v/>
      </c>
      <c r="G195" s="192" t="n">
        <v>45875</v>
      </c>
      <c r="H195" s="165" t="n"/>
      <c r="I195" s="112" t="n"/>
    </row>
    <row r="196">
      <c r="A196" s="236" t="inlineStr">
        <is>
          <t>Clinica do Excesso</t>
        </is>
      </c>
      <c r="B196" s="165" t="n">
        <v>1</v>
      </c>
      <c r="C196" s="68" t="n">
        <v>120</v>
      </c>
      <c r="D196" s="68">
        <f>C196</f>
        <v/>
      </c>
      <c r="E196" s="76" t="n"/>
      <c r="F196" s="131">
        <f>D196+E196</f>
        <v/>
      </c>
      <c r="G196" s="185" t="n">
        <v>45875</v>
      </c>
      <c r="H196" s="165" t="n"/>
      <c r="I196" s="112" t="n"/>
    </row>
    <row r="197">
      <c r="A197" s="236" t="inlineStr">
        <is>
          <t>Clinica do Excesso</t>
        </is>
      </c>
      <c r="B197" s="165" t="n">
        <v>1</v>
      </c>
      <c r="C197" s="68" t="n">
        <v>120</v>
      </c>
      <c r="D197" s="68">
        <f>C197</f>
        <v/>
      </c>
      <c r="E197" s="90" t="n"/>
      <c r="F197" s="131">
        <f>D197+E197</f>
        <v/>
      </c>
      <c r="G197" s="190" t="n">
        <v>45875</v>
      </c>
      <c r="H197" s="94" t="n"/>
      <c r="I197" s="196" t="n"/>
    </row>
    <row r="198">
      <c r="A198" s="236" t="inlineStr">
        <is>
          <t>Envejecer</t>
        </is>
      </c>
      <c r="B198" s="165" t="n">
        <v>1</v>
      </c>
      <c r="C198" s="68" t="n">
        <v>100</v>
      </c>
      <c r="D198" s="68">
        <f>C198</f>
        <v/>
      </c>
      <c r="E198" s="90" t="n"/>
      <c r="F198" s="131">
        <f>D198+E198</f>
        <v/>
      </c>
      <c r="G198" s="190" t="inlineStr">
        <is>
          <t>06//082025</t>
        </is>
      </c>
      <c r="H198" s="94" t="n"/>
      <c r="I198" s="196" t="n"/>
    </row>
    <row r="199">
      <c r="A199" s="236" t="inlineStr">
        <is>
          <t>Envejecer</t>
        </is>
      </c>
      <c r="B199" s="165" t="n">
        <v>1</v>
      </c>
      <c r="C199" s="68" t="n">
        <v>100</v>
      </c>
      <c r="D199" s="68">
        <f>C199</f>
        <v/>
      </c>
      <c r="E199" s="76" t="n"/>
      <c r="F199" s="131">
        <f>D199+E199</f>
        <v/>
      </c>
      <c r="G199" s="195" t="n">
        <v>45875</v>
      </c>
      <c r="H199" s="236" t="n"/>
      <c r="I199" s="118" t="n"/>
    </row>
    <row r="200">
      <c r="A200" s="236" t="inlineStr">
        <is>
          <t>Los impasses de la feminidad</t>
        </is>
      </c>
      <c r="B200" s="165" t="n">
        <v>1</v>
      </c>
      <c r="C200" s="68" t="n">
        <v>95</v>
      </c>
      <c r="D200" s="68">
        <f>C200</f>
        <v/>
      </c>
      <c r="E200" s="76" t="n"/>
      <c r="F200" s="131">
        <f>D200+E200</f>
        <v/>
      </c>
      <c r="G200" s="195" t="n">
        <v>45875</v>
      </c>
      <c r="H200" s="236" t="n"/>
      <c r="I200" s="118" t="n"/>
    </row>
    <row r="201">
      <c r="A201" s="201" t="inlineStr">
        <is>
          <t>Lo femenino, entre centro y ausencia</t>
        </is>
      </c>
      <c r="B201" s="165" t="n">
        <v>1</v>
      </c>
      <c r="C201" s="68" t="n">
        <v>135</v>
      </c>
      <c r="D201" s="68">
        <f>C201</f>
        <v/>
      </c>
      <c r="E201" s="76" t="n">
        <v>15</v>
      </c>
      <c r="F201" s="110">
        <f>D201+E201</f>
        <v/>
      </c>
      <c r="G201" s="195" t="n">
        <v>45876</v>
      </c>
      <c r="H201" s="236" t="n"/>
      <c r="I201" s="118" t="n"/>
    </row>
    <row r="202">
      <c r="A202" s="236" t="inlineStr">
        <is>
          <t>Revista Agente 21</t>
        </is>
      </c>
      <c r="B202" s="165" t="n">
        <v>1</v>
      </c>
      <c r="C202" s="171" t="inlineStr">
        <is>
          <t>Doação</t>
        </is>
      </c>
      <c r="D202" s="68">
        <f>C202</f>
        <v/>
      </c>
      <c r="E202" s="90" t="n"/>
      <c r="F202" s="197" t="n"/>
      <c r="G202" s="190" t="n">
        <v>45877</v>
      </c>
      <c r="H202" s="94" t="n"/>
      <c r="I202" s="203" t="n"/>
    </row>
    <row r="203">
      <c r="A203" s="236" t="inlineStr">
        <is>
          <t>As Paixões do Parlêtre</t>
        </is>
      </c>
      <c r="B203" s="165" t="n">
        <v>1</v>
      </c>
      <c r="C203" s="171" t="inlineStr">
        <is>
          <t>Doação</t>
        </is>
      </c>
      <c r="D203" s="68" t="inlineStr">
        <is>
          <t>Doação</t>
        </is>
      </c>
      <c r="E203" s="76" t="n"/>
      <c r="F203" s="110" t="n"/>
      <c r="G203" s="195" t="n">
        <v>45877</v>
      </c>
      <c r="H203" s="236" t="n"/>
      <c r="I203" s="204" t="n"/>
    </row>
    <row r="204">
      <c r="A204" s="201" t="inlineStr">
        <is>
          <t>Lo femenino, entre centro y ausencia</t>
        </is>
      </c>
      <c r="B204" s="165" t="n">
        <v>1</v>
      </c>
      <c r="C204" s="68" t="n">
        <v>135</v>
      </c>
      <c r="D204" s="68">
        <f>C204</f>
        <v/>
      </c>
      <c r="E204" s="76" t="n"/>
      <c r="F204" s="110" t="n"/>
      <c r="G204" s="195" t="inlineStr">
        <is>
          <t>08/08//2025</t>
        </is>
      </c>
      <c r="H204" s="236" t="n"/>
      <c r="I204" s="118" t="n"/>
    </row>
    <row r="205">
      <c r="A205" s="236" t="inlineStr">
        <is>
          <t>Los impasses de la feminidad</t>
        </is>
      </c>
      <c r="B205" s="165" t="n">
        <v>1</v>
      </c>
      <c r="C205" s="68" t="n">
        <v>95</v>
      </c>
      <c r="D205" s="68">
        <f>C205</f>
        <v/>
      </c>
      <c r="E205" s="76" t="n"/>
      <c r="F205" s="110" t="n"/>
      <c r="G205" s="195" t="n">
        <v>45877</v>
      </c>
      <c r="H205" s="236" t="n"/>
      <c r="I205" s="118" t="n"/>
    </row>
    <row r="206">
      <c r="A206" s="236" t="inlineStr">
        <is>
          <t>Los impasses de la feminidad</t>
        </is>
      </c>
      <c r="B206" s="165" t="n">
        <v>1</v>
      </c>
      <c r="C206" s="68" t="n">
        <v>95</v>
      </c>
      <c r="D206" s="68">
        <f>C206</f>
        <v/>
      </c>
      <c r="E206" s="76" t="n">
        <v>15</v>
      </c>
      <c r="F206" s="197">
        <f>D206+E206</f>
        <v/>
      </c>
      <c r="G206" s="195" t="n">
        <v>45877</v>
      </c>
      <c r="H206" s="236" t="n"/>
      <c r="I206" s="118" t="n"/>
    </row>
    <row r="207">
      <c r="A207" s="236" t="inlineStr">
        <is>
          <t>Los impasses de la feminidad</t>
        </is>
      </c>
      <c r="B207" s="165" t="n">
        <v>1</v>
      </c>
      <c r="C207" s="68" t="n">
        <v>95</v>
      </c>
      <c r="D207" s="68">
        <f>C207</f>
        <v/>
      </c>
      <c r="E207" s="76" t="n"/>
      <c r="F207" s="197" t="n"/>
      <c r="G207" s="195" t="n">
        <v>45877</v>
      </c>
      <c r="H207" s="236" t="n"/>
      <c r="I207" s="118" t="n"/>
    </row>
    <row r="208">
      <c r="A208" s="200" t="inlineStr">
        <is>
          <t>Las entrevistas preliminares y la entrada en análisis</t>
        </is>
      </c>
      <c r="B208" s="165" t="n">
        <v>1</v>
      </c>
      <c r="C208" s="68" t="n">
        <v>130</v>
      </c>
      <c r="D208" s="68">
        <f>C208</f>
        <v/>
      </c>
      <c r="E208" s="150" t="n"/>
      <c r="F208" s="197" t="n"/>
      <c r="G208" s="190" t="n">
        <v>45880</v>
      </c>
      <c r="H208" s="199" t="n"/>
      <c r="I208" s="125" t="n"/>
    </row>
    <row r="209">
      <c r="A209" s="236" t="inlineStr">
        <is>
          <t>Envejecer</t>
        </is>
      </c>
      <c r="B209" s="165" t="n">
        <v>1</v>
      </c>
      <c r="C209" s="68" t="n">
        <v>100</v>
      </c>
      <c r="D209" s="68">
        <f>C209</f>
        <v/>
      </c>
      <c r="E209" s="150" t="n"/>
      <c r="F209" s="197" t="n"/>
      <c r="G209" s="190" t="n">
        <v>45880</v>
      </c>
      <c r="H209" s="199" t="n"/>
      <c r="I209" s="125" t="n"/>
    </row>
    <row r="210">
      <c r="A210" s="236" t="inlineStr">
        <is>
          <t>Los impasses de la feminidad</t>
        </is>
      </c>
      <c r="B210" s="165" t="n">
        <v>1</v>
      </c>
      <c r="C210" s="171" t="inlineStr">
        <is>
          <t>Doação</t>
        </is>
      </c>
      <c r="D210" s="68">
        <f>C210</f>
        <v/>
      </c>
      <c r="E210" s="90" t="n"/>
      <c r="F210" s="197" t="n"/>
      <c r="G210" s="190" t="n">
        <v>45881</v>
      </c>
      <c r="H210" s="94" t="n"/>
      <c r="I210" s="203" t="n"/>
    </row>
    <row r="211">
      <c r="A211" s="236" t="inlineStr">
        <is>
          <t>Clinica do Excesso</t>
        </is>
      </c>
      <c r="B211" s="165" t="n">
        <v>1</v>
      </c>
      <c r="C211" s="68" t="n">
        <v>120</v>
      </c>
      <c r="D211" s="68">
        <f>C211</f>
        <v/>
      </c>
      <c r="E211" s="90" t="n"/>
      <c r="F211" s="197" t="n"/>
      <c r="G211" s="190" t="n">
        <v>45881</v>
      </c>
      <c r="H211" s="94" t="n"/>
      <c r="I211" s="125" t="n"/>
    </row>
    <row r="212">
      <c r="A212" s="236" t="inlineStr">
        <is>
          <t>O feminino in-familiar</t>
        </is>
      </c>
      <c r="B212" s="165" t="n">
        <v>1</v>
      </c>
      <c r="C212" s="68" t="n">
        <v>55</v>
      </c>
      <c r="D212" s="68">
        <f>C212</f>
        <v/>
      </c>
      <c r="E212" s="76" t="n"/>
      <c r="F212" s="197" t="n"/>
      <c r="G212" s="195" t="n">
        <v>45882</v>
      </c>
      <c r="H212" s="236" t="n"/>
      <c r="I212" s="118" t="n"/>
    </row>
    <row r="213">
      <c r="A213" s="236" t="inlineStr">
        <is>
          <t>Clinica do Excesso</t>
        </is>
      </c>
      <c r="B213" s="165" t="n">
        <v>1</v>
      </c>
      <c r="C213" s="68" t="n">
        <v>120</v>
      </c>
      <c r="D213" s="68">
        <f>C213</f>
        <v/>
      </c>
      <c r="E213" s="76" t="n"/>
      <c r="F213" s="197" t="n"/>
      <c r="G213" s="195" t="n">
        <v>45882</v>
      </c>
      <c r="H213" s="236" t="n"/>
      <c r="I213" s="118" t="n"/>
    </row>
    <row r="214">
      <c r="A214" s="236" t="inlineStr">
        <is>
          <t>Clinica do Excesso</t>
        </is>
      </c>
      <c r="B214" s="165" t="n">
        <v>1</v>
      </c>
      <c r="C214" s="68" t="n">
        <v>120</v>
      </c>
      <c r="D214" s="68">
        <f>C214</f>
        <v/>
      </c>
      <c r="E214" s="76" t="n"/>
      <c r="F214" s="197" t="n"/>
      <c r="G214" s="195" t="n">
        <v>45883</v>
      </c>
      <c r="H214" s="236" t="n"/>
      <c r="I214" s="118" t="n"/>
    </row>
    <row r="215">
      <c r="A215" s="200" t="inlineStr">
        <is>
          <t>Las entrevistas preliminares y la entrada en análisis</t>
        </is>
      </c>
      <c r="B215" s="165" t="n">
        <v>1</v>
      </c>
      <c r="C215" s="68" t="n">
        <v>130</v>
      </c>
      <c r="D215" s="68">
        <f>C215</f>
        <v/>
      </c>
      <c r="E215" s="90" t="n"/>
      <c r="F215" s="197" t="n"/>
      <c r="G215" s="190" t="n">
        <v>45883</v>
      </c>
      <c r="H215" s="94" t="n"/>
      <c r="I215" s="118" t="n"/>
    </row>
    <row r="216">
      <c r="A216" s="236" t="inlineStr">
        <is>
          <t>Clinica do Excesso</t>
        </is>
      </c>
      <c r="B216" s="165" t="n">
        <v>1</v>
      </c>
      <c r="C216" s="68" t="n">
        <v>120</v>
      </c>
      <c r="D216" s="68">
        <f>C216</f>
        <v/>
      </c>
      <c r="E216" s="90" t="n"/>
      <c r="F216" s="197" t="n"/>
      <c r="G216" s="190" t="n">
        <v>45888</v>
      </c>
      <c r="H216" s="94" t="n"/>
      <c r="I216" s="125" t="n"/>
    </row>
    <row r="217">
      <c r="A217" s="236" t="inlineStr">
        <is>
          <t>Clinica do Excesso</t>
        </is>
      </c>
      <c r="B217" s="165" t="n">
        <v>1</v>
      </c>
      <c r="C217" s="68" t="n">
        <v>120</v>
      </c>
      <c r="D217" s="68">
        <f>C217</f>
        <v/>
      </c>
      <c r="E217" s="90" t="n"/>
      <c r="F217" s="197" t="n"/>
      <c r="G217" s="190" t="n">
        <v>45891</v>
      </c>
      <c r="H217" s="94" t="n"/>
      <c r="I217" s="125" t="n"/>
    </row>
    <row r="218">
      <c r="A218" s="236" t="inlineStr">
        <is>
          <t>As Paixões do Parlêtre</t>
        </is>
      </c>
      <c r="B218" s="165" t="n">
        <v>1</v>
      </c>
      <c r="C218" s="171" t="inlineStr">
        <is>
          <t>Doação</t>
        </is>
      </c>
      <c r="D218" s="68" t="n"/>
      <c r="E218" s="90" t="n"/>
      <c r="F218" s="197" t="n"/>
      <c r="G218" s="190" t="n">
        <v>45891</v>
      </c>
      <c r="H218" s="94" t="n"/>
      <c r="I218" s="203" t="n"/>
    </row>
    <row r="219">
      <c r="A219" s="201" t="inlineStr">
        <is>
          <t>Lo Feminino, entre centro y ausência</t>
        </is>
      </c>
      <c r="B219" s="165" t="n">
        <v>1</v>
      </c>
      <c r="C219" s="171" t="inlineStr">
        <is>
          <t>Doação</t>
        </is>
      </c>
      <c r="D219" s="68" t="n"/>
      <c r="E219" s="90" t="n"/>
      <c r="F219" s="197" t="n"/>
      <c r="G219" s="190" t="n">
        <v>45894</v>
      </c>
      <c r="H219" s="94" t="n"/>
      <c r="I219" s="203" t="n"/>
    </row>
    <row r="220">
      <c r="A220" s="236" t="inlineStr">
        <is>
          <t xml:space="preserve">Agente 21   </t>
        </is>
      </c>
      <c r="B220" s="165" t="n">
        <v>15</v>
      </c>
      <c r="C220" s="171" t="inlineStr">
        <is>
          <t>Doação</t>
        </is>
      </c>
      <c r="D220" s="68" t="n"/>
      <c r="E220" s="90" t="n"/>
      <c r="F220" s="197" t="n"/>
      <c r="G220" s="202" t="n">
        <v>45896</v>
      </c>
      <c r="H220" s="205" t="n"/>
      <c r="I220" s="203" t="n"/>
    </row>
    <row r="221">
      <c r="A221" s="201" t="inlineStr">
        <is>
          <t>Los impasses de la feminidad</t>
        </is>
      </c>
      <c r="B221" s="165" t="n">
        <v>1</v>
      </c>
      <c r="C221" s="68" t="n">
        <v>95</v>
      </c>
      <c r="D221" s="68">
        <f>C221</f>
        <v/>
      </c>
      <c r="E221" s="90" t="n"/>
      <c r="F221" s="197" t="n"/>
      <c r="G221" s="202" t="n">
        <v>45897</v>
      </c>
      <c r="H221" s="205" t="n"/>
      <c r="I221" s="206" t="n"/>
    </row>
    <row r="222">
      <c r="A222" s="201" t="inlineStr">
        <is>
          <t>Lo femenino, entre centro y ausencia</t>
        </is>
      </c>
      <c r="B222" s="165" t="n">
        <v>1</v>
      </c>
      <c r="C222" s="68" t="n">
        <v>135</v>
      </c>
      <c r="D222" s="68">
        <f>C222</f>
        <v/>
      </c>
      <c r="E222" s="90" t="n"/>
      <c r="F222" s="197" t="n"/>
      <c r="G222" s="202" t="n">
        <v>45891</v>
      </c>
      <c r="H222" s="205" t="n"/>
      <c r="I222" s="206" t="n"/>
    </row>
    <row r="223">
      <c r="A223" s="236" t="inlineStr">
        <is>
          <t>Envejecer</t>
        </is>
      </c>
      <c r="B223" s="165" t="n">
        <v>33</v>
      </c>
      <c r="C223" s="68" t="n">
        <v>100</v>
      </c>
      <c r="D223" s="68">
        <f>-C223</f>
        <v/>
      </c>
      <c r="E223" s="76" t="n"/>
      <c r="F223" s="110" t="n"/>
      <c r="G223" s="207" t="n">
        <v>45891</v>
      </c>
      <c r="H223" s="208" t="n"/>
      <c r="I223" s="209" t="n"/>
    </row>
    <row r="224">
      <c r="A224" s="236" t="inlineStr">
        <is>
          <t>Envejecer</t>
        </is>
      </c>
      <c r="B224" s="165" t="n">
        <v>1</v>
      </c>
      <c r="C224" s="68" t="n">
        <v>100</v>
      </c>
      <c r="D224" s="68">
        <f>C224</f>
        <v/>
      </c>
      <c r="E224" s="90" t="n"/>
      <c r="F224" s="197" t="n"/>
      <c r="G224" s="202" t="n">
        <v>45891</v>
      </c>
      <c r="H224" s="205" t="n"/>
      <c r="I224" s="206" t="n"/>
    </row>
    <row r="225">
      <c r="A225" s="236" t="inlineStr">
        <is>
          <t>Las entrevistas preliminares</t>
        </is>
      </c>
      <c r="B225" s="165" t="n">
        <v>1</v>
      </c>
      <c r="C225" s="68" t="n">
        <v>130</v>
      </c>
      <c r="D225" s="68">
        <f>C225</f>
        <v/>
      </c>
      <c r="E225" s="76" t="n">
        <v>15</v>
      </c>
      <c r="F225" s="110">
        <f>D225+E225</f>
        <v/>
      </c>
      <c r="G225" s="207" t="n">
        <v>45894</v>
      </c>
      <c r="H225" s="208" t="n"/>
      <c r="I225" s="209" t="n"/>
    </row>
    <row r="226">
      <c r="A226" s="201" t="inlineStr">
        <is>
          <t>Lo femenino, entre centro y ausencia</t>
        </is>
      </c>
      <c r="B226" s="165" t="n">
        <v>1</v>
      </c>
      <c r="C226" s="68" t="n">
        <v>135</v>
      </c>
      <c r="D226" s="68">
        <f>C226</f>
        <v/>
      </c>
      <c r="E226" s="76" t="n"/>
      <c r="F226" s="110" t="n"/>
      <c r="G226" s="207" t="n">
        <v>45896</v>
      </c>
      <c r="H226" s="208" t="n"/>
      <c r="I226" s="209" t="n"/>
    </row>
    <row r="227">
      <c r="A227" s="236" t="inlineStr">
        <is>
          <t>Envejecer</t>
        </is>
      </c>
      <c r="B227" s="165" t="n">
        <v>1</v>
      </c>
      <c r="C227" s="68" t="n">
        <v>100</v>
      </c>
      <c r="D227" s="68">
        <f>C227</f>
        <v/>
      </c>
      <c r="E227" s="76" t="n"/>
      <c r="F227" s="110" t="n"/>
      <c r="G227" s="207" t="n">
        <v>45891</v>
      </c>
      <c r="H227" s="208" t="n"/>
      <c r="I227" s="209" t="n"/>
    </row>
    <row r="228">
      <c r="A228" s="236" t="inlineStr">
        <is>
          <t>Envejecer</t>
        </is>
      </c>
      <c r="B228" s="165" t="n">
        <v>1</v>
      </c>
      <c r="C228" s="213" t="n">
        <v>100</v>
      </c>
      <c r="D228" s="68">
        <f>C229</f>
        <v/>
      </c>
      <c r="E228" s="76" t="n"/>
      <c r="F228" s="110" t="n"/>
      <c r="G228" s="207" t="n">
        <v>45897</v>
      </c>
      <c r="H228" s="208" t="n"/>
      <c r="I228" s="209" t="n"/>
    </row>
    <row r="229">
      <c r="A229" s="236" t="inlineStr">
        <is>
          <t>Envejecer</t>
        </is>
      </c>
      <c r="B229" s="165" t="n">
        <v>1</v>
      </c>
      <c r="C229" s="68" t="n">
        <v>100</v>
      </c>
      <c r="D229" s="68">
        <f>C229</f>
        <v/>
      </c>
      <c r="E229" s="76" t="n"/>
      <c r="F229" s="110" t="n"/>
      <c r="G229" s="207" t="n">
        <v>45898</v>
      </c>
      <c r="H229" s="208" t="n"/>
      <c r="I229" s="209" t="n"/>
    </row>
    <row r="230">
      <c r="A230" s="236" t="inlineStr">
        <is>
          <t>Las entrevistas preliminares</t>
        </is>
      </c>
      <c r="B230" s="165" t="n">
        <v>1</v>
      </c>
      <c r="C230" s="68" t="n">
        <v>130</v>
      </c>
      <c r="D230" s="68">
        <f>C230</f>
        <v/>
      </c>
      <c r="E230" s="90" t="n"/>
      <c r="F230" s="197" t="n"/>
      <c r="G230" s="202" t="n">
        <v>45898</v>
      </c>
      <c r="H230" s="205" t="n"/>
      <c r="I230" s="209" t="n"/>
    </row>
    <row r="231">
      <c r="A231" s="236" t="inlineStr">
        <is>
          <t>Revista Agente 21</t>
        </is>
      </c>
      <c r="B231" s="165" t="n">
        <v>1</v>
      </c>
      <c r="C231" s="171" t="inlineStr">
        <is>
          <t>Doação</t>
        </is>
      </c>
      <c r="D231" s="68" t="n"/>
      <c r="E231" s="76" t="n"/>
      <c r="F231" s="110" t="n"/>
      <c r="G231" s="207" t="n">
        <v>45899</v>
      </c>
      <c r="H231" s="208" t="n"/>
      <c r="I231" s="204" t="n"/>
    </row>
    <row r="232">
      <c r="A232" s="236" t="inlineStr">
        <is>
          <t>Revista Agente 20</t>
        </is>
      </c>
      <c r="B232" s="165" t="n">
        <v>1</v>
      </c>
      <c r="C232" s="171" t="inlineStr">
        <is>
          <t>Doação</t>
        </is>
      </c>
      <c r="D232" s="68" t="n"/>
      <c r="E232" s="76" t="n"/>
      <c r="F232" s="110" t="n"/>
      <c r="G232" s="207" t="n">
        <v>45899</v>
      </c>
      <c r="H232" s="208" t="n"/>
      <c r="I232" s="204" t="n"/>
    </row>
    <row r="233">
      <c r="A233" s="236" t="inlineStr">
        <is>
          <t>As Paixões do Parlêtre</t>
        </is>
      </c>
      <c r="B233" s="165" t="n">
        <v>1</v>
      </c>
      <c r="C233" s="171" t="inlineStr">
        <is>
          <t>Doação</t>
        </is>
      </c>
      <c r="D233" s="68" t="n"/>
      <c r="E233" s="76" t="n"/>
      <c r="F233" s="110" t="n"/>
      <c r="G233" s="207" t="n">
        <v>45899</v>
      </c>
      <c r="H233" s="208" t="n"/>
      <c r="I233" s="204" t="n"/>
    </row>
    <row r="234">
      <c r="A234" s="236" t="inlineStr">
        <is>
          <t>La diferença  de los sexos</t>
        </is>
      </c>
      <c r="B234" s="165" t="n">
        <v>1</v>
      </c>
      <c r="C234" s="68" t="n">
        <v>70</v>
      </c>
      <c r="D234" s="68">
        <f>C234</f>
        <v/>
      </c>
      <c r="E234" s="76" t="n"/>
      <c r="F234" s="110" t="n"/>
      <c r="G234" s="207" t="n">
        <v>45898</v>
      </c>
      <c r="H234" s="208" t="n"/>
      <c r="I234" s="209" t="n"/>
    </row>
    <row r="235">
      <c r="A235" s="236" t="inlineStr">
        <is>
          <t>Envejecer</t>
        </is>
      </c>
      <c r="B235" s="165" t="n">
        <v>1</v>
      </c>
      <c r="C235" s="68" t="n">
        <v>100</v>
      </c>
      <c r="D235" s="68">
        <f>C235</f>
        <v/>
      </c>
      <c r="E235" s="76" t="n"/>
      <c r="F235" s="110" t="n"/>
      <c r="G235" s="207" t="n">
        <v>45898</v>
      </c>
      <c r="H235" s="208" t="n"/>
      <c r="I235" s="209" t="n"/>
    </row>
    <row r="236">
      <c r="A236" s="236" t="inlineStr">
        <is>
          <t>Envejecer</t>
        </is>
      </c>
      <c r="B236" s="165" t="n">
        <v>1</v>
      </c>
      <c r="C236" s="68" t="n">
        <v>100</v>
      </c>
      <c r="D236" s="68">
        <f>C236</f>
        <v/>
      </c>
      <c r="E236" s="90" t="n"/>
      <c r="F236" s="197" t="n"/>
      <c r="G236" s="202" t="n">
        <v>45898</v>
      </c>
      <c r="H236" s="205" t="n"/>
      <c r="I236" s="206" t="n"/>
    </row>
    <row r="237">
      <c r="A237" s="236" t="inlineStr">
        <is>
          <t>Autismo</t>
        </is>
      </c>
      <c r="B237" s="165" t="n">
        <v>1</v>
      </c>
      <c r="C237" s="68" t="n">
        <v>40</v>
      </c>
      <c r="D237" s="68">
        <f>C237</f>
        <v/>
      </c>
      <c r="E237" s="76" t="n"/>
      <c r="F237" s="110">
        <f>D237+E237</f>
        <v/>
      </c>
      <c r="G237" s="207" t="n">
        <v>45901</v>
      </c>
      <c r="H237" s="208" t="n"/>
      <c r="I237" s="209" t="n"/>
    </row>
    <row r="238">
      <c r="A238" s="236" t="inlineStr">
        <is>
          <t xml:space="preserve">A Morte de Si </t>
        </is>
      </c>
      <c r="B238" s="165" t="n">
        <v>1</v>
      </c>
      <c r="C238" s="68" t="n">
        <v>78</v>
      </c>
      <c r="D238" s="68">
        <f>C238</f>
        <v/>
      </c>
      <c r="E238" s="76" t="n"/>
      <c r="F238" s="110">
        <f>D238+E238</f>
        <v/>
      </c>
      <c r="G238" s="207" t="n">
        <v>45901</v>
      </c>
      <c r="H238" s="208" t="n"/>
      <c r="I238" s="209" t="n"/>
    </row>
    <row r="239">
      <c r="A239" s="236" t="inlineStr">
        <is>
          <t>A Construção da Realidade Segundo a Psicanálise (Consignado)</t>
        </is>
      </c>
      <c r="B239" s="165" t="n">
        <v>1</v>
      </c>
      <c r="C239" s="68" t="n">
        <v>60</v>
      </c>
      <c r="D239" s="68">
        <f>C239</f>
        <v/>
      </c>
      <c r="E239" s="76" t="n"/>
      <c r="F239" s="110">
        <f>D239+E239</f>
        <v/>
      </c>
      <c r="G239" s="207" t="n">
        <v>45901</v>
      </c>
      <c r="H239" s="208" t="n"/>
      <c r="I239" s="209" t="n"/>
    </row>
    <row r="240">
      <c r="A240" s="236" t="inlineStr">
        <is>
          <t>Agente 9</t>
        </is>
      </c>
      <c r="B240" s="165" t="n">
        <v>1</v>
      </c>
      <c r="C240" s="68" t="n">
        <v>10</v>
      </c>
      <c r="D240" s="68">
        <f>C240</f>
        <v/>
      </c>
      <c r="E240" s="76" t="n"/>
      <c r="F240" s="110">
        <f>D240+E240</f>
        <v/>
      </c>
      <c r="G240" s="207" t="n">
        <v>45901</v>
      </c>
      <c r="H240" s="208" t="n"/>
      <c r="I240" s="209" t="n"/>
    </row>
    <row r="241">
      <c r="A241" s="236" t="inlineStr">
        <is>
          <t>Sgente 14</t>
        </is>
      </c>
      <c r="B241" s="165" t="n">
        <v>1</v>
      </c>
      <c r="C241" s="68" t="n">
        <v>15</v>
      </c>
      <c r="D241" s="68">
        <f>C241</f>
        <v/>
      </c>
      <c r="E241" s="76" t="n"/>
      <c r="F241" s="110">
        <f>D241+E241</f>
        <v/>
      </c>
      <c r="G241" s="207" t="n">
        <v>45901</v>
      </c>
      <c r="H241" s="208" t="n"/>
      <c r="I241" s="209" t="n"/>
    </row>
    <row r="242">
      <c r="A242" s="236" t="inlineStr">
        <is>
          <t>Trauma, Solidão, e Laço na Infânca e na adolecencia</t>
        </is>
      </c>
      <c r="B242" s="165" t="n">
        <v>1</v>
      </c>
      <c r="C242" s="68" t="n">
        <v>35</v>
      </c>
      <c r="D242" s="68">
        <f>C242</f>
        <v/>
      </c>
      <c r="E242" s="76" t="n"/>
      <c r="F242" s="110">
        <f>D242+E242</f>
        <v/>
      </c>
      <c r="G242" s="207" t="n">
        <v>45901</v>
      </c>
      <c r="H242" s="208" t="n"/>
      <c r="I242" s="209" t="n"/>
    </row>
    <row r="243">
      <c r="A243" s="236" t="inlineStr">
        <is>
          <t>Envejecer</t>
        </is>
      </c>
      <c r="B243" s="165" t="n">
        <v>1</v>
      </c>
      <c r="C243" s="68" t="n">
        <v>100</v>
      </c>
      <c r="D243" s="68">
        <f>C243</f>
        <v/>
      </c>
      <c r="E243" s="76" t="n"/>
      <c r="F243" s="110">
        <f>D243+E243</f>
        <v/>
      </c>
      <c r="G243" s="207" t="n">
        <v>45901</v>
      </c>
      <c r="H243" s="208" t="n"/>
      <c r="I243" s="209" t="n"/>
    </row>
    <row r="244">
      <c r="A244" s="236" t="inlineStr">
        <is>
          <t>Envejecer</t>
        </is>
      </c>
      <c r="B244" s="165" t="n">
        <v>1</v>
      </c>
      <c r="C244" s="68" t="n">
        <v>100</v>
      </c>
      <c r="D244" s="68">
        <f>C244</f>
        <v/>
      </c>
      <c r="E244" s="76" t="n"/>
      <c r="F244" s="110">
        <f>D244+E244</f>
        <v/>
      </c>
      <c r="G244" s="207" t="n">
        <v>45901</v>
      </c>
      <c r="H244" s="208" t="n"/>
      <c r="I244" s="209" t="n"/>
    </row>
    <row r="245">
      <c r="A245" s="236" t="inlineStr">
        <is>
          <t>Envejecer</t>
        </is>
      </c>
      <c r="B245" s="165" t="n">
        <v>1</v>
      </c>
      <c r="C245" s="68" t="n">
        <v>100</v>
      </c>
      <c r="D245" s="68">
        <f>C245</f>
        <v/>
      </c>
      <c r="E245" s="76" t="n"/>
      <c r="F245" s="110">
        <f>D245+E245</f>
        <v/>
      </c>
      <c r="G245" s="207" t="n">
        <v>45901</v>
      </c>
      <c r="H245" s="208" t="n"/>
      <c r="I245" s="209" t="n"/>
    </row>
    <row r="246">
      <c r="A246" s="236" t="inlineStr">
        <is>
          <t>Envejecer</t>
        </is>
      </c>
      <c r="B246" s="165" t="n">
        <v>1</v>
      </c>
      <c r="C246" s="68" t="n">
        <v>100</v>
      </c>
      <c r="D246" s="68">
        <f>C246</f>
        <v/>
      </c>
      <c r="E246" s="76" t="n">
        <v>15</v>
      </c>
      <c r="F246" s="110">
        <f>D246+E246</f>
        <v/>
      </c>
      <c r="G246" s="207" t="n">
        <v>45901</v>
      </c>
      <c r="H246" s="208" t="n"/>
      <c r="I246" s="209" t="n"/>
    </row>
    <row r="247">
      <c r="A247" s="236" t="inlineStr">
        <is>
          <t>O feminino infamiliar</t>
        </is>
      </c>
      <c r="B247" s="165" t="n">
        <v>1</v>
      </c>
      <c r="C247" s="68" t="n">
        <v>55</v>
      </c>
      <c r="D247" s="68">
        <f>C247</f>
        <v/>
      </c>
      <c r="E247" s="76" t="n"/>
      <c r="F247" s="110">
        <f>D247+E247</f>
        <v/>
      </c>
      <c r="G247" s="207" t="n">
        <v>45902</v>
      </c>
      <c r="H247" s="208" t="n"/>
      <c r="I247" s="209" t="n"/>
    </row>
    <row r="248">
      <c r="A248" s="236" t="inlineStr">
        <is>
          <t>O feminino infamiliar</t>
        </is>
      </c>
      <c r="B248" s="165" t="n">
        <v>1</v>
      </c>
      <c r="C248" s="68" t="n">
        <v>55</v>
      </c>
      <c r="D248" s="68">
        <f>C248</f>
        <v/>
      </c>
      <c r="E248" s="76" t="n"/>
      <c r="F248" s="110">
        <f>D248+E248</f>
        <v/>
      </c>
      <c r="G248" s="207" t="n">
        <v>45903</v>
      </c>
      <c r="H248" s="208" t="n"/>
      <c r="I248" s="209" t="n"/>
    </row>
    <row r="249">
      <c r="A249" s="236" t="inlineStr">
        <is>
          <t xml:space="preserve">IPB - Seminários | Nieves Soria Dafunchio | Clinica da Sexuação </t>
        </is>
      </c>
      <c r="B249" s="165" t="n">
        <v>1</v>
      </c>
      <c r="C249" s="248" t="n">
        <v>20</v>
      </c>
      <c r="D249" s="68">
        <f>C249</f>
        <v/>
      </c>
      <c r="E249" s="248" t="n">
        <v>15</v>
      </c>
      <c r="F249" s="110">
        <f>D249+E249</f>
        <v/>
      </c>
      <c r="G249" s="195" t="n">
        <v>45909</v>
      </c>
      <c r="H249" s="236" t="n"/>
      <c r="I249" s="118" t="n"/>
    </row>
    <row r="250">
      <c r="A250" s="236" t="inlineStr">
        <is>
          <t>Lo femenino, entre centro y ausencia</t>
        </is>
      </c>
      <c r="B250" s="165" t="n">
        <v>1</v>
      </c>
      <c r="C250" s="248" t="n">
        <v>135</v>
      </c>
      <c r="D250" s="68">
        <f>C250</f>
        <v/>
      </c>
      <c r="E250" s="248" t="n">
        <v>15</v>
      </c>
      <c r="F250" s="110">
        <f>D250+E250</f>
        <v/>
      </c>
      <c r="G250" s="195" t="n">
        <v>45911</v>
      </c>
      <c r="H250" s="236" t="n"/>
      <c r="I250" s="118" t="n"/>
    </row>
    <row r="251">
      <c r="A251" s="201" t="inlineStr">
        <is>
          <t>La leyenda negra de Jacques Lacan: Élisabeth Roudinesco y método histórico</t>
        </is>
      </c>
      <c r="B251" s="165" t="n">
        <v>1</v>
      </c>
      <c r="C251" s="248" t="n">
        <v>65</v>
      </c>
      <c r="D251" s="68">
        <f>C251</f>
        <v/>
      </c>
      <c r="E251" s="248" t="n"/>
      <c r="F251" s="110">
        <f>D251+E251</f>
        <v/>
      </c>
      <c r="G251" s="195" t="n">
        <v>45912</v>
      </c>
      <c r="H251" s="236" t="n"/>
      <c r="I251" s="118" t="n"/>
    </row>
    <row r="252">
      <c r="A252" s="201" t="inlineStr">
        <is>
          <t>Envejecer - El duelo por sí mesmo</t>
        </is>
      </c>
      <c r="B252" s="165" t="n">
        <v>1</v>
      </c>
      <c r="C252" s="248" t="n">
        <v>100</v>
      </c>
      <c r="D252" s="68">
        <f>C252</f>
        <v/>
      </c>
      <c r="E252" s="248" t="n"/>
      <c r="F252" s="110">
        <f>D252+E252</f>
        <v/>
      </c>
      <c r="G252" s="195" t="n">
        <v>45912</v>
      </c>
      <c r="H252" s="236" t="n"/>
      <c r="I252" s="118" t="n"/>
    </row>
    <row r="253">
      <c r="A253" s="236" t="inlineStr">
        <is>
          <t xml:space="preserve">Agente 21     </t>
        </is>
      </c>
      <c r="B253" s="165" t="n">
        <v>1</v>
      </c>
      <c r="C253" s="248" t="n">
        <v>49</v>
      </c>
      <c r="D253" s="68">
        <f>C253</f>
        <v/>
      </c>
      <c r="E253" s="248" t="n"/>
      <c r="F253" s="110">
        <f>D253+E253</f>
        <v/>
      </c>
      <c r="G253" s="195" t="n">
        <v>45935</v>
      </c>
      <c r="H253" s="236" t="n"/>
      <c r="I253" s="118" t="n"/>
    </row>
    <row r="254">
      <c r="A254" s="236" t="inlineStr">
        <is>
          <t>Agente 20</t>
        </is>
      </c>
      <c r="B254" s="165" t="n">
        <v>4</v>
      </c>
      <c r="C254" s="248" t="n">
        <v>49</v>
      </c>
      <c r="D254" s="68">
        <f>B254*C254</f>
        <v/>
      </c>
      <c r="E254" s="248" t="n"/>
      <c r="F254" s="110">
        <f>D254+E254</f>
        <v/>
      </c>
      <c r="G254" s="195" t="n">
        <v>45935</v>
      </c>
      <c r="H254" s="236" t="n"/>
      <c r="I254" s="118" t="n"/>
    </row>
    <row r="255">
      <c r="A255" s="236" t="inlineStr">
        <is>
          <t>O campo Uniano</t>
        </is>
      </c>
      <c r="B255" s="165" t="n">
        <v>4</v>
      </c>
      <c r="C255" s="248" t="n">
        <v>91</v>
      </c>
      <c r="D255" s="68">
        <f>B255*C255</f>
        <v/>
      </c>
      <c r="E255" s="248" t="n"/>
      <c r="F255" s="110">
        <f>D255+E255</f>
        <v/>
      </c>
      <c r="G255" s="195" t="n">
        <v>45935</v>
      </c>
      <c r="H255" s="236" t="n"/>
      <c r="I255" s="118" t="n"/>
    </row>
    <row r="256">
      <c r="A256" s="236" t="inlineStr">
        <is>
          <t>As paixões do Parlêtre</t>
        </is>
      </c>
      <c r="B256" s="165" t="n">
        <v>6</v>
      </c>
      <c r="C256" s="248" t="n">
        <v>70</v>
      </c>
      <c r="D256" s="68">
        <f>B256*C256</f>
        <v/>
      </c>
      <c r="E256" s="248" t="n"/>
      <c r="F256" s="110">
        <f>D256+E256</f>
        <v/>
      </c>
      <c r="G256" s="195" t="n">
        <v>45935</v>
      </c>
      <c r="H256" s="236" t="n"/>
      <c r="I256" s="118" t="n"/>
    </row>
    <row r="257">
      <c r="A257" s="216" t="inlineStr">
        <is>
          <t>ENAPOL  Deposita o valor das vendas dos livros</t>
        </is>
      </c>
      <c r="B257" s="165" t="n"/>
      <c r="C257" s="248" t="n"/>
      <c r="D257" s="68">
        <f>C257</f>
        <v/>
      </c>
      <c r="E257" s="248" t="n"/>
      <c r="F257" s="110">
        <f>D257+E257</f>
        <v/>
      </c>
      <c r="G257" s="195" t="n">
        <v>45922</v>
      </c>
      <c r="H257" s="236" t="n"/>
      <c r="I257" s="217" t="n"/>
    </row>
    <row r="258">
      <c r="A258" s="236" t="inlineStr">
        <is>
          <t>Agente 21</t>
        </is>
      </c>
      <c r="B258" s="165" t="n">
        <v>1</v>
      </c>
      <c r="C258" s="218" t="inlineStr">
        <is>
          <t>Doação</t>
        </is>
      </c>
      <c r="D258" s="68" t="n"/>
      <c r="E258" s="248" t="n"/>
      <c r="F258" s="110" t="n"/>
      <c r="G258" s="195" t="n"/>
      <c r="H258" s="236" t="n"/>
      <c r="I258" s="219" t="n"/>
    </row>
    <row r="259">
      <c r="A259" s="201" t="inlineStr">
        <is>
          <t>Envejecer - El duelo por sí mesmo</t>
        </is>
      </c>
      <c r="B259" s="165" t="n">
        <v>1</v>
      </c>
      <c r="C259" s="248" t="n">
        <v>100</v>
      </c>
      <c r="D259" s="68">
        <f>C259</f>
        <v/>
      </c>
      <c r="E259" s="248" t="n"/>
      <c r="F259" s="110">
        <f>D259+E259</f>
        <v/>
      </c>
      <c r="G259" s="186" t="n">
        <v>45915</v>
      </c>
      <c r="H259" s="236" t="n"/>
      <c r="I259" s="118" t="n"/>
    </row>
    <row r="260">
      <c r="A260" s="201" t="inlineStr">
        <is>
          <t>Envejecer - El duelo por sí mesmo</t>
        </is>
      </c>
      <c r="B260" s="165" t="n">
        <v>2</v>
      </c>
      <c r="C260" s="248" t="n">
        <v>100</v>
      </c>
      <c r="D260" s="68">
        <f>B260*C260</f>
        <v/>
      </c>
      <c r="E260" s="248" t="n"/>
      <c r="F260" s="110">
        <f>D260+E260</f>
        <v/>
      </c>
      <c r="G260" s="186" t="n">
        <v>45915</v>
      </c>
      <c r="H260" s="236" t="n"/>
      <c r="I260" s="118" t="n"/>
    </row>
    <row r="261">
      <c r="A261" s="201" t="inlineStr">
        <is>
          <t>Envejecer - El duelo por sí mesmo</t>
        </is>
      </c>
      <c r="B261" s="165" t="n">
        <v>1</v>
      </c>
      <c r="C261" s="248" t="n">
        <v>100</v>
      </c>
      <c r="D261" s="68">
        <f>C261</f>
        <v/>
      </c>
      <c r="E261" s="248" t="n">
        <v>15</v>
      </c>
      <c r="F261" s="110">
        <f>D261+E261</f>
        <v/>
      </c>
      <c r="G261" s="186" t="n">
        <v>45916</v>
      </c>
      <c r="H261" s="236" t="n"/>
      <c r="I261" s="118" t="n"/>
    </row>
    <row r="262">
      <c r="A262" s="201" t="inlineStr">
        <is>
          <t>O campo Uniano</t>
        </is>
      </c>
      <c r="B262" s="165" t="n">
        <v>1</v>
      </c>
      <c r="C262" s="248" t="n">
        <v>120</v>
      </c>
      <c r="D262" s="68">
        <f>B262*C262</f>
        <v/>
      </c>
      <c r="E262" s="248" t="n"/>
      <c r="F262" s="110">
        <f>D262+E262</f>
        <v/>
      </c>
      <c r="G262" s="186" t="n">
        <v>45915</v>
      </c>
      <c r="H262" s="236" t="n"/>
      <c r="I262" s="118" t="n"/>
    </row>
    <row r="263">
      <c r="A263" s="236" t="inlineStr">
        <is>
          <t>Seminário 15</t>
        </is>
      </c>
      <c r="B263" s="165" t="n">
        <v>1</v>
      </c>
      <c r="C263" s="248" t="n">
        <v>137</v>
      </c>
      <c r="D263" s="68">
        <f>C263</f>
        <v/>
      </c>
      <c r="E263" s="248" t="n"/>
      <c r="F263" s="110">
        <f>D263+E263</f>
        <v/>
      </c>
      <c r="G263" s="186" t="n">
        <v>45917</v>
      </c>
      <c r="H263" s="236" t="n"/>
      <c r="I263" s="118" t="n"/>
    </row>
    <row r="264">
      <c r="A264" s="236" t="inlineStr">
        <is>
          <t>Aspaixões do parlêtre   (Consignação)</t>
        </is>
      </c>
      <c r="B264" s="165" t="n">
        <v>1</v>
      </c>
      <c r="C264" s="218" t="inlineStr">
        <is>
          <t>Doação</t>
        </is>
      </c>
      <c r="D264" s="68" t="n"/>
      <c r="E264" s="248" t="n"/>
      <c r="F264" s="110" t="n"/>
      <c r="G264" s="186" t="n"/>
      <c r="H264" s="236" t="n"/>
      <c r="I264" s="158" t="n"/>
    </row>
    <row r="265">
      <c r="A265" s="236" t="inlineStr">
        <is>
          <t xml:space="preserve">Clínica do Excesso </t>
        </is>
      </c>
      <c r="B265" s="165" t="n">
        <v>1</v>
      </c>
      <c r="C265" s="248" t="n">
        <v>120</v>
      </c>
      <c r="D265" s="68">
        <f>C265</f>
        <v/>
      </c>
      <c r="E265" s="248" t="n"/>
      <c r="F265" s="110">
        <f>D265+E265</f>
        <v/>
      </c>
      <c r="G265" s="186" t="n">
        <v>45917</v>
      </c>
      <c r="H265" s="236" t="n"/>
      <c r="I265" s="118" t="n"/>
    </row>
    <row r="266">
      <c r="A266" s="236" t="inlineStr">
        <is>
          <t>Clinica do Excesso</t>
        </is>
      </c>
      <c r="B266" s="165" t="n">
        <v>1</v>
      </c>
      <c r="C266" s="248" t="n">
        <v>120</v>
      </c>
      <c r="D266" s="68">
        <f>C266</f>
        <v/>
      </c>
      <c r="E266" s="248" t="n"/>
      <c r="F266" s="110">
        <f>D266+E266</f>
        <v/>
      </c>
      <c r="G266" s="186" t="n">
        <v>45917</v>
      </c>
      <c r="H266" s="236" t="n"/>
      <c r="I266" s="118" t="n"/>
    </row>
    <row r="267">
      <c r="A267" s="201" t="inlineStr">
        <is>
          <t>Envejecer - El duelo por sí mesmo</t>
        </is>
      </c>
      <c r="B267" s="165" t="n">
        <v>1</v>
      </c>
      <c r="C267" s="248" t="n">
        <v>100</v>
      </c>
      <c r="D267" s="68">
        <f>C267</f>
        <v/>
      </c>
      <c r="E267" s="248" t="n">
        <v>15</v>
      </c>
      <c r="F267" s="110">
        <f>D267+E267</f>
        <v/>
      </c>
      <c r="G267" s="186" t="n">
        <v>45919</v>
      </c>
      <c r="H267" s="236" t="n"/>
      <c r="I267" s="118" t="n"/>
    </row>
    <row r="268">
      <c r="A268" s="201" t="inlineStr">
        <is>
          <t>O ser e a letra / Consignação</t>
        </is>
      </c>
      <c r="B268" s="165" t="n">
        <v>1</v>
      </c>
      <c r="C268" s="248" t="n">
        <v>40</v>
      </c>
      <c r="D268" s="68">
        <f>C268</f>
        <v/>
      </c>
      <c r="E268" s="248" t="n"/>
      <c r="F268" s="110">
        <f>D268+E268</f>
        <v/>
      </c>
      <c r="G268" s="186" t="n">
        <v>45919</v>
      </c>
      <c r="H268" s="236" t="n"/>
      <c r="I268" s="118" t="n"/>
    </row>
    <row r="269">
      <c r="A269" s="201" t="inlineStr">
        <is>
          <t>O ser e a letra / Consignação</t>
        </is>
      </c>
      <c r="B269" s="165" t="n">
        <v>1</v>
      </c>
      <c r="C269" s="248" t="n">
        <v>40</v>
      </c>
      <c r="D269" s="68">
        <f>C269</f>
        <v/>
      </c>
      <c r="E269" s="248" t="n"/>
      <c r="F269" s="110">
        <f>D269+E269</f>
        <v/>
      </c>
      <c r="G269" s="186" t="n">
        <v>45919</v>
      </c>
      <c r="H269" s="236" t="n"/>
      <c r="I269" s="118" t="n"/>
    </row>
    <row r="270">
      <c r="A270" s="201" t="inlineStr">
        <is>
          <t xml:space="preserve">A Morte de Si </t>
        </is>
      </c>
      <c r="B270" s="165" t="n">
        <v>1</v>
      </c>
      <c r="C270" s="248" t="n">
        <v>78</v>
      </c>
      <c r="D270" s="68">
        <f>C270</f>
        <v/>
      </c>
      <c r="E270" s="248" t="n"/>
      <c r="F270" s="110">
        <f>D270+E270</f>
        <v/>
      </c>
      <c r="G270" s="186" t="n">
        <v>45919</v>
      </c>
      <c r="H270" s="236" t="n"/>
      <c r="I270" s="118" t="n"/>
    </row>
    <row r="271">
      <c r="A271" s="236" t="inlineStr">
        <is>
          <t xml:space="preserve">As Paixões do Parlêtre   </t>
        </is>
      </c>
      <c r="B271" s="165" t="n">
        <v>1</v>
      </c>
      <c r="C271" s="218" t="inlineStr">
        <is>
          <t>Doação</t>
        </is>
      </c>
      <c r="D271" s="68" t="n"/>
      <c r="E271" s="248" t="n"/>
      <c r="F271" s="110" t="n"/>
      <c r="G271" s="186" t="n">
        <v>45922</v>
      </c>
      <c r="H271" s="236" t="n"/>
      <c r="I271" s="158" t="n"/>
    </row>
    <row r="272">
      <c r="A272" s="236" t="inlineStr">
        <is>
          <t>Revista Agente 21</t>
        </is>
      </c>
      <c r="B272" s="165" t="n">
        <v>1</v>
      </c>
      <c r="C272" s="218" t="inlineStr">
        <is>
          <t>Doação</t>
        </is>
      </c>
      <c r="D272" s="68" t="n"/>
      <c r="E272" s="248" t="n"/>
      <c r="F272" s="110">
        <f>D272+E272</f>
        <v/>
      </c>
      <c r="G272" s="186" t="n">
        <v>45922</v>
      </c>
      <c r="H272" s="236" t="n"/>
      <c r="I272" s="158" t="n"/>
    </row>
    <row r="273">
      <c r="A273" s="236" t="inlineStr">
        <is>
          <t>A Função do Pai na Psicanálise</t>
        </is>
      </c>
      <c r="B273" s="165" t="n">
        <v>1</v>
      </c>
      <c r="C273" s="248" t="n">
        <v>60</v>
      </c>
      <c r="D273" s="68">
        <f>C273</f>
        <v/>
      </c>
      <c r="E273" s="236" t="n"/>
      <c r="F273" s="110">
        <f>D273+E273</f>
        <v/>
      </c>
      <c r="G273" s="186" t="n">
        <v>45922</v>
      </c>
      <c r="H273" s="236" t="n"/>
      <c r="I273" s="118" t="n"/>
    </row>
    <row r="274">
      <c r="A274" s="236" t="inlineStr">
        <is>
          <t>A Função do Pai na Psicanálise</t>
        </is>
      </c>
      <c r="B274" s="165" t="n">
        <v>1</v>
      </c>
      <c r="C274" s="248" t="n">
        <v>60</v>
      </c>
      <c r="D274" s="68">
        <f>C274</f>
        <v/>
      </c>
      <c r="E274" s="248" t="n"/>
      <c r="F274" s="110">
        <f>D274+E274</f>
        <v/>
      </c>
      <c r="G274" s="186" t="n">
        <v>45922</v>
      </c>
      <c r="H274" s="236" t="n"/>
      <c r="I274" s="118" t="n"/>
    </row>
    <row r="275">
      <c r="A275" s="236" t="inlineStr">
        <is>
          <t>A Função do Pai na Psicanálise</t>
        </is>
      </c>
      <c r="B275" s="165" t="n">
        <v>1</v>
      </c>
      <c r="C275" s="248" t="n">
        <v>60</v>
      </c>
      <c r="D275" s="68">
        <f>C275</f>
        <v/>
      </c>
      <c r="E275" s="248" t="n"/>
      <c r="F275" s="110">
        <f>D275+E275</f>
        <v/>
      </c>
      <c r="G275" s="186" t="n">
        <v>45922</v>
      </c>
      <c r="H275" s="236" t="n"/>
      <c r="I275" s="118" t="n"/>
    </row>
    <row r="276">
      <c r="A276" s="236" t="inlineStr">
        <is>
          <t>A Função do Pai na Psicanálise</t>
        </is>
      </c>
      <c r="B276" s="165" t="n">
        <v>1</v>
      </c>
      <c r="C276" s="248" t="n">
        <v>60</v>
      </c>
      <c r="D276" s="68">
        <f>C276</f>
        <v/>
      </c>
      <c r="E276" s="248" t="n"/>
      <c r="F276" s="110">
        <f>D276+E276</f>
        <v/>
      </c>
      <c r="G276" s="186" t="n">
        <v>45922</v>
      </c>
      <c r="H276" s="236" t="n"/>
      <c r="I276" s="118" t="n"/>
    </row>
    <row r="277">
      <c r="A277" s="236" t="inlineStr">
        <is>
          <t>A Função do Pai na Psicanálise</t>
        </is>
      </c>
      <c r="B277" s="165" t="n">
        <v>1</v>
      </c>
      <c r="C277" s="248" t="n">
        <v>60</v>
      </c>
      <c r="D277" s="68">
        <f>C277</f>
        <v/>
      </c>
      <c r="E277" s="248" t="n"/>
      <c r="F277" s="110">
        <f>D277+E277</f>
        <v/>
      </c>
      <c r="G277" s="186" t="n">
        <v>45922</v>
      </c>
      <c r="H277" s="236" t="n"/>
      <c r="I277" s="118" t="n"/>
    </row>
    <row r="278">
      <c r="A278" s="236" t="inlineStr">
        <is>
          <t>Clínica do Excesso</t>
        </is>
      </c>
      <c r="B278" s="165" t="n">
        <v>1</v>
      </c>
      <c r="C278" s="248" t="n">
        <v>120</v>
      </c>
      <c r="D278" s="248">
        <f>C278</f>
        <v/>
      </c>
      <c r="E278" s="248" t="n"/>
      <c r="F278" s="248">
        <f>D278+E278</f>
        <v/>
      </c>
      <c r="G278" s="220" t="inlineStr">
        <is>
          <t>22/09//2025</t>
        </is>
      </c>
      <c r="H278" s="236" t="n"/>
      <c r="I278" s="118" t="n"/>
    </row>
    <row r="279">
      <c r="A279" s="236" t="inlineStr">
        <is>
          <t>Envejecer</t>
        </is>
      </c>
      <c r="B279" s="165" t="n">
        <v>1</v>
      </c>
      <c r="C279" s="248" t="n">
        <v>100</v>
      </c>
      <c r="D279" s="248">
        <f>C279</f>
        <v/>
      </c>
      <c r="E279" s="248" t="n"/>
      <c r="F279" s="248">
        <f>D279+E279</f>
        <v/>
      </c>
      <c r="G279" s="186" t="n">
        <v>45922</v>
      </c>
      <c r="H279" s="236" t="n"/>
      <c r="I279" s="118" t="n"/>
    </row>
    <row r="280">
      <c r="A280" s="221" t="inlineStr">
        <is>
          <t>IPB - Seminários | Nieves Soria Dafunchio | Clinica da Sexuação</t>
        </is>
      </c>
      <c r="B280" s="165" t="n">
        <v>1</v>
      </c>
      <c r="C280" s="248" t="n">
        <v>20</v>
      </c>
      <c r="D280" s="248">
        <f>C280</f>
        <v/>
      </c>
      <c r="E280" s="248" t="n">
        <v>15</v>
      </c>
      <c r="F280" s="248">
        <f>D280+E280</f>
        <v/>
      </c>
      <c r="G280" s="186" t="n">
        <v>45922</v>
      </c>
      <c r="H280" s="236" t="n"/>
      <c r="I280" s="118" t="n"/>
    </row>
    <row r="281">
      <c r="A281" s="236" t="inlineStr">
        <is>
          <t>Clinica do Excesso</t>
        </is>
      </c>
      <c r="B281" s="165" t="n">
        <v>1</v>
      </c>
      <c r="C281" s="248" t="n">
        <v>120</v>
      </c>
      <c r="D281" s="248">
        <f>C281</f>
        <v/>
      </c>
      <c r="E281" s="248" t="n"/>
      <c r="F281" s="248">
        <f>D281+E281</f>
        <v/>
      </c>
      <c r="G281" s="186" t="n">
        <v>45922</v>
      </c>
      <c r="H281" s="236" t="n"/>
      <c r="I281" s="118" t="n"/>
    </row>
    <row r="282">
      <c r="A282" s="236" t="inlineStr">
        <is>
          <t>O Campo Uniano</t>
        </is>
      </c>
      <c r="B282" s="165" t="n">
        <v>1</v>
      </c>
      <c r="C282" s="248" t="n">
        <v>120</v>
      </c>
      <c r="D282" s="248">
        <f>B282*C282</f>
        <v/>
      </c>
      <c r="E282" s="248" t="n"/>
      <c r="F282" s="248">
        <f>+D282+E282</f>
        <v/>
      </c>
      <c r="G282" s="186" t="n">
        <v>45924</v>
      </c>
      <c r="H282" s="236" t="n"/>
      <c r="I282" s="118" t="n"/>
    </row>
    <row r="283">
      <c r="A283" s="236" t="inlineStr">
        <is>
          <t>O Campo Uniano</t>
        </is>
      </c>
      <c r="B283" s="165" t="n">
        <v>1</v>
      </c>
      <c r="C283" s="248" t="n">
        <v>120</v>
      </c>
      <c r="D283" s="248">
        <f>B283*C283</f>
        <v/>
      </c>
      <c r="E283" s="248" t="n"/>
      <c r="F283" s="248">
        <f>+D283+E283</f>
        <v/>
      </c>
      <c r="G283" s="186" t="n">
        <v>45925</v>
      </c>
      <c r="H283" s="236" t="n"/>
      <c r="I283" s="118" t="n"/>
    </row>
    <row r="284">
      <c r="A284" s="236" t="inlineStr">
        <is>
          <t>Lacan e a Solução Inteligente</t>
        </is>
      </c>
      <c r="B284" s="165" t="n">
        <v>1</v>
      </c>
      <c r="C284" s="248" t="n">
        <v>70</v>
      </c>
      <c r="D284" s="248">
        <f>B284*C284</f>
        <v/>
      </c>
      <c r="E284" s="248" t="n"/>
      <c r="F284" s="248">
        <f>+D284+E284</f>
        <v/>
      </c>
      <c r="G284" s="186" t="n">
        <v>45931</v>
      </c>
      <c r="H284" s="236" t="n"/>
      <c r="I284" s="118" t="n"/>
    </row>
    <row r="285">
      <c r="A285" s="236" t="inlineStr">
        <is>
          <t>Lacan e a Solução Inteligente</t>
        </is>
      </c>
      <c r="B285" s="84" t="n">
        <v>1</v>
      </c>
      <c r="C285" s="223" t="n">
        <v>70</v>
      </c>
      <c r="D285" s="248">
        <f>B285*C285</f>
        <v/>
      </c>
      <c r="E285" s="223" t="n">
        <v>15</v>
      </c>
      <c r="F285" s="248">
        <f>+D285+E285</f>
        <v/>
      </c>
      <c r="G285" s="224" t="n">
        <v>45932</v>
      </c>
      <c r="H285" s="111" t="n"/>
      <c r="I285" s="136" t="n"/>
    </row>
    <row r="286">
      <c r="A286" s="236" t="inlineStr">
        <is>
          <t xml:space="preserve">O Campo Uniano - O último ensino de Lacan e suas consequências </t>
        </is>
      </c>
      <c r="B286" s="165" t="n">
        <v>1</v>
      </c>
      <c r="C286" s="248" t="n">
        <v>130</v>
      </c>
      <c r="D286" s="248">
        <f>B286*C286</f>
        <v/>
      </c>
      <c r="E286" s="248" t="n">
        <v>15</v>
      </c>
      <c r="F286" s="248">
        <f>+D286+E286</f>
        <v/>
      </c>
      <c r="G286" s="186" t="n">
        <v>45938</v>
      </c>
      <c r="H286" s="236" t="n"/>
      <c r="I286" s="118" t="n"/>
      <c r="J286" s="236" t="n"/>
      <c r="K286" s="236" t="n"/>
      <c r="L286" s="236" t="n"/>
      <c r="M286" s="236" t="n"/>
      <c r="N286" s="236" t="n"/>
      <c r="O286" s="236" t="n"/>
      <c r="P286" s="236" t="n"/>
      <c r="Q286" s="236" t="n"/>
      <c r="R286" s="236" t="n"/>
      <c r="S286" s="236" t="n"/>
      <c r="T286" s="236" t="n"/>
      <c r="U286" s="236" t="n"/>
      <c r="V286" s="236" t="n"/>
      <c r="W286" s="236" t="n"/>
      <c r="X286" s="236" t="n"/>
      <c r="Y286" s="236" t="n"/>
      <c r="Z286" s="236" t="n"/>
    </row>
    <row r="287">
      <c r="A287" s="200" t="inlineStr">
        <is>
          <t>O Fundamento do Errado - Clínica Psicanalítica Lacaniana          Consignado</t>
        </is>
      </c>
      <c r="B287" s="165" t="n">
        <v>1</v>
      </c>
      <c r="C287" s="248" t="n">
        <v>119.9</v>
      </c>
      <c r="D287" s="248">
        <f>B287*C287</f>
        <v/>
      </c>
      <c r="E287" s="248" t="n"/>
      <c r="F287" s="248">
        <f>+D287+E287</f>
        <v/>
      </c>
      <c r="G287" s="186" t="n">
        <v>45938</v>
      </c>
      <c r="H287" s="236" t="n"/>
      <c r="I287" s="118" t="n"/>
      <c r="J287" s="236" t="n"/>
      <c r="K287" s="236" t="n"/>
      <c r="L287" s="236" t="n"/>
      <c r="M287" s="236" t="n"/>
      <c r="N287" s="236" t="n"/>
      <c r="O287" s="236" t="n"/>
      <c r="P287" s="236" t="n"/>
      <c r="Q287" s="236" t="n"/>
      <c r="R287" s="236" t="n"/>
      <c r="S287" s="236" t="n"/>
      <c r="T287" s="236" t="n"/>
      <c r="U287" s="236" t="n"/>
      <c r="V287" s="236" t="n"/>
      <c r="W287" s="236" t="n"/>
      <c r="X287" s="236" t="n"/>
      <c r="Y287" s="236" t="n"/>
      <c r="Z287" s="236" t="n"/>
    </row>
    <row r="288">
      <c r="A288" s="200" t="inlineStr">
        <is>
          <t>Joyce, o sal de Lacan       (Consignação)</t>
        </is>
      </c>
      <c r="B288" s="165" t="n">
        <v>1</v>
      </c>
      <c r="C288" s="248" t="n">
        <v>120</v>
      </c>
      <c r="D288" s="248">
        <f>B288*C288</f>
        <v/>
      </c>
      <c r="E288" s="248" t="n"/>
      <c r="F288" s="248">
        <f>+D288+E288</f>
        <v/>
      </c>
      <c r="G288" s="186" t="n">
        <v>45933</v>
      </c>
      <c r="H288" s="236" t="n"/>
      <c r="I288" s="118" t="n"/>
      <c r="J288" s="236" t="n"/>
      <c r="K288" s="236" t="n"/>
      <c r="L288" s="236" t="n"/>
      <c r="M288" s="236" t="n"/>
      <c r="N288" s="236" t="n"/>
      <c r="O288" s="236" t="n"/>
      <c r="P288" s="236" t="n"/>
      <c r="Q288" s="236" t="n"/>
      <c r="R288" s="236" t="n"/>
      <c r="S288" s="236" t="n"/>
      <c r="T288" s="236" t="n"/>
      <c r="U288" s="236" t="n"/>
      <c r="V288" s="236" t="n"/>
      <c r="W288" s="236" t="n"/>
      <c r="X288" s="236" t="n"/>
      <c r="Y288" s="236" t="n"/>
      <c r="Z288" s="236" t="n"/>
    </row>
    <row r="289">
      <c r="A289" s="200" t="inlineStr">
        <is>
          <t>Las entrevistas preliminares y la entrada en análisis</t>
        </is>
      </c>
      <c r="B289" s="165" t="n">
        <v>1</v>
      </c>
      <c r="C289" s="248" t="n">
        <v>130</v>
      </c>
      <c r="D289" s="248">
        <f>B289*C289</f>
        <v/>
      </c>
      <c r="E289" s="248" t="n"/>
      <c r="F289" s="248">
        <f>+D289+E289</f>
        <v/>
      </c>
      <c r="G289" s="186" t="n">
        <v>45938</v>
      </c>
      <c r="H289" s="236" t="n"/>
      <c r="I289" s="118" t="n"/>
      <c r="J289" s="236" t="n"/>
      <c r="K289" s="236" t="n"/>
      <c r="L289" s="236" t="n"/>
      <c r="M289" s="236" t="n"/>
      <c r="N289" s="236" t="n"/>
      <c r="O289" s="236" t="n"/>
      <c r="P289" s="236" t="n"/>
      <c r="Q289" s="236" t="n"/>
      <c r="R289" s="236" t="n"/>
      <c r="S289" s="236" t="n"/>
      <c r="T289" s="236" t="n"/>
      <c r="U289" s="236" t="n"/>
      <c r="V289" s="236" t="n"/>
      <c r="W289" s="236" t="n"/>
      <c r="X289" s="236" t="n"/>
      <c r="Y289" s="236" t="n"/>
      <c r="Z289" s="236" t="n"/>
    </row>
    <row r="290">
      <c r="A290" s="200" t="inlineStr">
        <is>
          <t>Las entrevistas preliminares y la entrada en análisis</t>
        </is>
      </c>
      <c r="B290" s="165" t="n">
        <v>1</v>
      </c>
      <c r="C290" s="248" t="n">
        <v>130</v>
      </c>
      <c r="D290" s="248">
        <f>B290*C290</f>
        <v/>
      </c>
      <c r="E290" s="248" t="n"/>
      <c r="F290" s="248">
        <f>+D290+E290</f>
        <v/>
      </c>
      <c r="G290" s="186" t="n">
        <v>45938</v>
      </c>
      <c r="H290" s="236" t="n"/>
      <c r="I290" s="118" t="n"/>
      <c r="J290" s="236" t="n"/>
      <c r="K290" s="236" t="n"/>
      <c r="L290" s="236" t="n"/>
      <c r="M290" s="236" t="n"/>
      <c r="N290" s="236" t="n"/>
      <c r="O290" s="236" t="n"/>
      <c r="P290" s="236" t="n"/>
      <c r="Q290" s="236" t="n"/>
      <c r="R290" s="236" t="n"/>
      <c r="S290" s="236" t="n"/>
      <c r="T290" s="236" t="n"/>
      <c r="U290" s="236" t="n"/>
      <c r="V290" s="236" t="n"/>
      <c r="W290" s="236" t="n"/>
      <c r="X290" s="236" t="n"/>
      <c r="Y290" s="236" t="n"/>
      <c r="Z290" s="236" t="n"/>
    </row>
    <row r="291">
      <c r="A291" s="200" t="inlineStr">
        <is>
          <t xml:space="preserve">Joyce, o sal de Lacan      </t>
        </is>
      </c>
      <c r="B291" s="165" t="n">
        <v>1</v>
      </c>
      <c r="C291" s="248" t="n">
        <v>100</v>
      </c>
      <c r="D291" s="248">
        <f>B291*C291</f>
        <v/>
      </c>
      <c r="E291" s="248" t="n"/>
      <c r="F291" s="248">
        <f>+D291+E291</f>
        <v/>
      </c>
      <c r="G291" s="186" t="n">
        <v>45940</v>
      </c>
      <c r="H291" s="236" t="n"/>
      <c r="I291" s="118" t="n"/>
      <c r="J291" s="236" t="n"/>
      <c r="K291" s="236" t="n"/>
      <c r="L291" s="236" t="n"/>
      <c r="M291" s="236" t="n"/>
      <c r="N291" s="236" t="n"/>
      <c r="O291" s="236" t="n"/>
      <c r="P291" s="236" t="n"/>
      <c r="Q291" s="236" t="n"/>
      <c r="R291" s="236" t="n"/>
      <c r="S291" s="236" t="n"/>
      <c r="T291" s="236" t="n"/>
      <c r="U291" s="236" t="n"/>
      <c r="V291" s="236" t="n"/>
      <c r="W291" s="236" t="n"/>
      <c r="X291" s="236" t="n"/>
      <c r="Y291" s="236" t="n"/>
      <c r="Z291" s="236" t="n"/>
    </row>
    <row r="292">
      <c r="A292" s="236" t="inlineStr">
        <is>
          <t>A Função do Pai na Psicanálise</t>
        </is>
      </c>
      <c r="B292" s="165" t="n">
        <v>1</v>
      </c>
      <c r="C292" s="248" t="n">
        <v>60</v>
      </c>
      <c r="D292" s="248">
        <f>B292*C292</f>
        <v/>
      </c>
      <c r="E292" s="248" t="n"/>
      <c r="F292" s="248">
        <f>+D292+E292</f>
        <v/>
      </c>
      <c r="G292" s="186" t="n">
        <v>45943</v>
      </c>
      <c r="H292" s="236" t="n"/>
      <c r="I292" s="118" t="n"/>
      <c r="J292" s="236" t="n"/>
      <c r="K292" s="236" t="n"/>
      <c r="L292" s="236" t="n"/>
      <c r="M292" s="236" t="n"/>
      <c r="N292" s="236" t="n"/>
      <c r="O292" s="236" t="n"/>
      <c r="P292" s="236" t="n"/>
      <c r="Q292" s="236" t="n"/>
      <c r="R292" s="236" t="n"/>
      <c r="S292" s="236" t="n"/>
      <c r="T292" s="236" t="n"/>
      <c r="U292" s="236" t="n"/>
      <c r="V292" s="236" t="n"/>
      <c r="W292" s="236" t="n"/>
      <c r="X292" s="236" t="n"/>
      <c r="Y292" s="236" t="n"/>
      <c r="Z292" s="236" t="n"/>
    </row>
    <row r="293">
      <c r="A293" s="236" t="inlineStr">
        <is>
          <t xml:space="preserve">As Paixões do Parlêtre   </t>
        </is>
      </c>
      <c r="B293" s="165" t="n">
        <v>1</v>
      </c>
      <c r="C293" s="218" t="inlineStr">
        <is>
          <t>Doação</t>
        </is>
      </c>
      <c r="D293" s="248" t="n"/>
      <c r="E293" s="248" t="n"/>
      <c r="F293" s="248">
        <f>+D293+E293</f>
        <v/>
      </c>
      <c r="G293" s="186" t="n">
        <v>45941</v>
      </c>
      <c r="H293" s="236" t="n"/>
      <c r="I293" s="158" t="n"/>
      <c r="J293" s="236" t="n"/>
      <c r="K293" s="236" t="n"/>
      <c r="L293" s="236" t="n"/>
      <c r="M293" s="236" t="n"/>
      <c r="N293" s="236" t="n"/>
      <c r="O293" s="236" t="n"/>
      <c r="P293" s="236" t="n"/>
      <c r="Q293" s="236" t="n"/>
      <c r="R293" s="236" t="n"/>
      <c r="S293" s="236" t="n"/>
      <c r="T293" s="236" t="n"/>
      <c r="U293" s="236" t="n"/>
      <c r="V293" s="236" t="n"/>
      <c r="W293" s="236" t="n"/>
      <c r="X293" s="236" t="n"/>
      <c r="Y293" s="236" t="n"/>
      <c r="Z293" s="236" t="n"/>
    </row>
    <row r="294">
      <c r="A294" s="236" t="inlineStr">
        <is>
          <t>Revista Agente 21</t>
        </is>
      </c>
      <c r="B294" s="165" t="n">
        <v>1</v>
      </c>
      <c r="C294" s="218" t="inlineStr">
        <is>
          <t>Doação</t>
        </is>
      </c>
      <c r="D294" s="248" t="n"/>
      <c r="E294" s="248" t="n"/>
      <c r="F294" s="248">
        <f>+D294+E294</f>
        <v/>
      </c>
      <c r="G294" s="186" t="n">
        <v>45941</v>
      </c>
      <c r="H294" s="236" t="n"/>
      <c r="I294" s="158" t="n"/>
    </row>
    <row r="295">
      <c r="A295" s="200" t="inlineStr">
        <is>
          <t>Pricípios de uma psicoterapia de la psicose</t>
        </is>
      </c>
      <c r="B295" s="165" t="n">
        <v>1</v>
      </c>
      <c r="C295" s="248" t="n">
        <v>170</v>
      </c>
      <c r="D295" s="248">
        <f>B295*C295</f>
        <v/>
      </c>
      <c r="E295" s="248" t="n"/>
      <c r="F295" s="248">
        <f>+D295+E295</f>
        <v/>
      </c>
      <c r="G295" s="186" t="n">
        <v>45943</v>
      </c>
      <c r="H295" s="236" t="n"/>
      <c r="I295" s="118" t="n"/>
    </row>
    <row r="296">
      <c r="A296" s="200" t="inlineStr">
        <is>
          <t>Joyce, o sal de Lacan       (Consignação)</t>
        </is>
      </c>
      <c r="B296" s="165" t="n">
        <v>1</v>
      </c>
      <c r="C296" s="248" t="n">
        <v>100</v>
      </c>
      <c r="D296" s="248">
        <f>B296*C296</f>
        <v/>
      </c>
      <c r="E296" s="248" t="n"/>
      <c r="F296" s="248">
        <f>+D296+E296</f>
        <v/>
      </c>
      <c r="G296" s="186" t="n">
        <v>45943</v>
      </c>
      <c r="H296" s="236" t="n"/>
      <c r="I296" s="118" t="n"/>
    </row>
    <row r="297">
      <c r="A297" s="200" t="inlineStr">
        <is>
          <t>Pais e psicanalistas pensam o autismo         Consignado</t>
        </is>
      </c>
      <c r="B297" s="165" t="n">
        <v>1</v>
      </c>
      <c r="C297" s="248" t="n">
        <v>90</v>
      </c>
      <c r="D297" s="248">
        <f>B297*C297</f>
        <v/>
      </c>
      <c r="E297" s="248" t="n"/>
      <c r="F297" s="248">
        <f>+D297+E297</f>
        <v/>
      </c>
      <c r="G297" s="186" t="n">
        <v>45943</v>
      </c>
      <c r="H297" s="236" t="n"/>
      <c r="I297" s="118" t="n"/>
    </row>
    <row r="298">
      <c r="A298" s="201" t="inlineStr">
        <is>
          <t>Os Mortos Vivos e a Psicanálise             consignado</t>
        </is>
      </c>
      <c r="B298" s="165" t="n">
        <v>1</v>
      </c>
      <c r="C298" s="248" t="n">
        <v>90</v>
      </c>
      <c r="D298" s="248">
        <f>B298*C298</f>
        <v/>
      </c>
      <c r="E298" s="248" t="n"/>
      <c r="F298" s="248">
        <f>+D298+E298</f>
        <v/>
      </c>
      <c r="G298" s="186" t="n">
        <v>45943</v>
      </c>
      <c r="H298" s="236" t="n"/>
      <c r="I298" s="118" t="n"/>
    </row>
    <row r="299">
      <c r="A299" s="236" t="inlineStr">
        <is>
          <t>Lacan e a Solução Inteligente</t>
        </is>
      </c>
      <c r="B299" s="165" t="n">
        <v>1</v>
      </c>
      <c r="C299" s="248" t="n">
        <v>70</v>
      </c>
      <c r="D299" s="248">
        <f>B299*C299</f>
        <v/>
      </c>
      <c r="E299" s="248" t="n"/>
      <c r="F299" s="248">
        <f>+D299+E299</f>
        <v/>
      </c>
      <c r="G299" s="186" t="n">
        <v>45943</v>
      </c>
      <c r="H299" s="236" t="n"/>
      <c r="I299" s="118" t="n"/>
    </row>
    <row r="300">
      <c r="A300" s="236" t="inlineStr">
        <is>
          <t>A Função do Pai na Psicanálise</t>
        </is>
      </c>
      <c r="B300" s="165" t="n">
        <v>1</v>
      </c>
      <c r="C300" s="248" t="n">
        <v>60</v>
      </c>
      <c r="D300" s="248">
        <f>B300*C300</f>
        <v/>
      </c>
      <c r="E300" s="248" t="n"/>
      <c r="F300" s="248">
        <f>+D300+E300</f>
        <v/>
      </c>
      <c r="G300" s="186" t="n">
        <v>45943</v>
      </c>
      <c r="H300" s="236" t="n"/>
      <c r="I300" s="118" t="n"/>
    </row>
    <row r="301">
      <c r="A301" s="236" t="inlineStr">
        <is>
          <t>Clínica do Excesso</t>
        </is>
      </c>
      <c r="B301" s="165" t="n">
        <v>1</v>
      </c>
      <c r="C301" s="248" t="n">
        <v>120</v>
      </c>
      <c r="D301" s="248">
        <f>B301*C301</f>
        <v/>
      </c>
      <c r="E301" s="248" t="n"/>
      <c r="F301" s="248">
        <f>+D301+E301</f>
        <v/>
      </c>
      <c r="G301" s="186" t="n">
        <v>45943</v>
      </c>
      <c r="H301" s="236" t="n"/>
      <c r="I301" s="118" t="n"/>
    </row>
    <row r="302">
      <c r="A302" s="236" t="inlineStr">
        <is>
          <t>O Funcionamento Errado</t>
        </is>
      </c>
      <c r="B302" s="165" t="n">
        <v>1</v>
      </c>
      <c r="C302" s="248" t="n">
        <v>119.9</v>
      </c>
      <c r="D302" s="248">
        <f>B302*C302</f>
        <v/>
      </c>
      <c r="E302" s="236" t="n"/>
      <c r="F302" s="248">
        <f>+D302+E302</f>
        <v/>
      </c>
      <c r="G302" s="186" t="n">
        <v>45943</v>
      </c>
      <c r="H302" s="236" t="n"/>
      <c r="I302" s="118" t="n"/>
    </row>
    <row r="303">
      <c r="A303" s="200" t="inlineStr">
        <is>
          <t>O Feminino Infamiliar</t>
        </is>
      </c>
      <c r="B303" s="165" t="n">
        <v>1</v>
      </c>
      <c r="C303" s="248" t="n">
        <v>55</v>
      </c>
      <c r="D303" s="248">
        <f>B303*C303</f>
        <v/>
      </c>
      <c r="E303" s="236" t="n"/>
      <c r="F303" s="248">
        <f>+D303+E303</f>
        <v/>
      </c>
      <c r="G303" s="186" t="n">
        <v>45943</v>
      </c>
      <c r="H303" s="236" t="n"/>
      <c r="I303" s="118" t="n"/>
    </row>
    <row r="304">
      <c r="A304" s="200" t="inlineStr">
        <is>
          <t>O Feminino Infamiliar</t>
        </is>
      </c>
      <c r="B304" s="165" t="n">
        <v>1</v>
      </c>
      <c r="C304" s="248" t="n">
        <v>55</v>
      </c>
      <c r="D304" s="248">
        <f>B304*C304</f>
        <v/>
      </c>
      <c r="E304" s="236" t="n"/>
      <c r="F304" s="248">
        <f>+D304+E304</f>
        <v/>
      </c>
      <c r="G304" s="186" t="n">
        <v>45943</v>
      </c>
      <c r="H304" s="236" t="n"/>
      <c r="I304" s="118" t="n"/>
    </row>
    <row r="305">
      <c r="A305" s="236" t="inlineStr">
        <is>
          <t>As Paixões do Parlêtre</t>
        </is>
      </c>
      <c r="B305" s="165" t="n">
        <v>1</v>
      </c>
      <c r="C305" s="248" t="n">
        <v>100</v>
      </c>
      <c r="D305" s="248">
        <f>B305*C305</f>
        <v/>
      </c>
      <c r="E305" s="248" t="n">
        <v>15</v>
      </c>
      <c r="F305" s="248">
        <f>+D305+E305</f>
        <v/>
      </c>
      <c r="G305" s="186" t="n">
        <v>45943</v>
      </c>
      <c r="H305" s="236" t="n"/>
      <c r="I305" s="118" t="n"/>
    </row>
    <row r="306">
      <c r="A306" s="236" t="inlineStr">
        <is>
          <t>Clínica do Excesso</t>
        </is>
      </c>
      <c r="B306" s="165" t="n">
        <v>1</v>
      </c>
      <c r="C306" s="248" t="n">
        <v>120</v>
      </c>
      <c r="D306" s="248">
        <f>B306*C306</f>
        <v/>
      </c>
      <c r="E306" s="248" t="n"/>
      <c r="F306" s="248">
        <f>+D306+E306</f>
        <v/>
      </c>
      <c r="G306" s="186" t="n">
        <v>45951</v>
      </c>
      <c r="H306" s="236" t="n"/>
      <c r="I306" s="118" t="n"/>
    </row>
    <row r="307">
      <c r="A307" s="236" t="inlineStr">
        <is>
          <t>O que é ser Homem</t>
        </is>
      </c>
      <c r="B307" s="165" t="n">
        <v>1</v>
      </c>
      <c r="C307" s="248" t="n">
        <v>70</v>
      </c>
      <c r="D307" s="248">
        <f>B307*C307</f>
        <v/>
      </c>
      <c r="E307" s="248" t="n"/>
      <c r="F307" s="248">
        <f>+D307+E307</f>
        <v/>
      </c>
      <c r="G307" s="186" t="n">
        <v>45952</v>
      </c>
      <c r="H307" s="236" t="n"/>
      <c r="I307" s="226" t="n"/>
    </row>
    <row r="308">
      <c r="A308" s="236" t="inlineStr">
        <is>
          <t>O campo uniano Jorge Tadeu</t>
        </is>
      </c>
      <c r="B308" s="165" t="n">
        <v>1</v>
      </c>
      <c r="C308" s="248" t="n">
        <v>130</v>
      </c>
      <c r="D308" s="248">
        <f>B308*C308</f>
        <v/>
      </c>
      <c r="E308" s="248" t="n"/>
      <c r="F308" s="248">
        <f>+D308+E308</f>
        <v/>
      </c>
      <c r="G308" s="186" t="n">
        <v>45953</v>
      </c>
      <c r="H308" s="236" t="n"/>
      <c r="I308" s="118" t="n"/>
    </row>
    <row r="309">
      <c r="A309" s="236" t="inlineStr">
        <is>
          <t>A Função do Pai na Psicanálise</t>
        </is>
      </c>
      <c r="B309" s="165" t="n">
        <v>1</v>
      </c>
      <c r="C309" s="248" t="n">
        <v>60</v>
      </c>
      <c r="D309" s="248">
        <f>B309*C309</f>
        <v/>
      </c>
      <c r="E309" s="248" t="n"/>
      <c r="F309" s="248">
        <f>+D309+E309</f>
        <v/>
      </c>
      <c r="G309" s="186" t="n">
        <v>45954</v>
      </c>
      <c r="H309" s="236" t="n"/>
      <c r="I309" s="118" t="n"/>
    </row>
    <row r="310">
      <c r="A310" s="227" t="inlineStr">
        <is>
          <t>O que é ser Homem</t>
        </is>
      </c>
      <c r="B310" s="228" t="n">
        <v>24</v>
      </c>
      <c r="C310" s="248" t="n">
        <v>70</v>
      </c>
      <c r="D310" s="248">
        <f>B310*C310</f>
        <v/>
      </c>
      <c r="E310" s="248" t="n"/>
      <c r="F310" s="248">
        <f>+D310+E310</f>
        <v/>
      </c>
      <c r="G310" s="186" t="n">
        <v>45954</v>
      </c>
      <c r="H310" s="236" t="n"/>
      <c r="I310" s="226" t="n"/>
    </row>
    <row r="311">
      <c r="A311" s="236" t="inlineStr">
        <is>
          <t>O campo Uniano</t>
        </is>
      </c>
      <c r="B311" s="165" t="n">
        <v>1</v>
      </c>
      <c r="C311" s="248" t="n">
        <v>130</v>
      </c>
      <c r="D311" s="248">
        <f>B311*C311</f>
        <v/>
      </c>
      <c r="E311" s="248" t="n"/>
      <c r="F311" s="248">
        <f>+D311+E311</f>
        <v/>
      </c>
      <c r="G311" s="186" t="n">
        <v>45957</v>
      </c>
      <c r="H311" s="236" t="n"/>
      <c r="I311" s="118" t="n"/>
    </row>
    <row r="312">
      <c r="A312" s="200" t="inlineStr">
        <is>
          <t xml:space="preserve">Joyce, o sal de Lacan       </t>
        </is>
      </c>
      <c r="B312" s="165" t="n">
        <v>1</v>
      </c>
      <c r="C312" s="248" t="n">
        <v>100</v>
      </c>
      <c r="D312" s="248">
        <f>B312*C312</f>
        <v/>
      </c>
      <c r="E312" s="248" t="n"/>
      <c r="F312" s="248">
        <f>+D312+E312</f>
        <v/>
      </c>
      <c r="G312" s="186" t="n">
        <v>45957</v>
      </c>
      <c r="H312" s="236" t="n"/>
      <c r="I312" s="118" t="n"/>
    </row>
    <row r="313">
      <c r="A313" s="236" t="inlineStr">
        <is>
          <t>O que é ser Homem</t>
        </is>
      </c>
      <c r="B313" s="165" t="n">
        <v>1</v>
      </c>
      <c r="C313" s="248" t="n">
        <v>70</v>
      </c>
      <c r="D313" s="248">
        <f>B313*C313</f>
        <v/>
      </c>
      <c r="E313" s="248" t="n">
        <v>15</v>
      </c>
      <c r="F313" s="248">
        <f>+D313+E313</f>
        <v/>
      </c>
      <c r="G313" s="186" t="n">
        <v>45957</v>
      </c>
      <c r="H313" s="236" t="n"/>
      <c r="I313" s="118" t="n"/>
    </row>
    <row r="314">
      <c r="A314" s="236" t="inlineStr">
        <is>
          <t>O que é ser Homem</t>
        </is>
      </c>
      <c r="B314" s="165" t="n">
        <v>1</v>
      </c>
      <c r="C314" s="248" t="n">
        <v>70</v>
      </c>
      <c r="D314" s="248">
        <f>B314*C314</f>
        <v/>
      </c>
      <c r="E314" s="248" t="n"/>
      <c r="F314" s="248">
        <f>+D314+E314</f>
        <v/>
      </c>
      <c r="G314" s="186" t="n">
        <v>45957</v>
      </c>
      <c r="H314" s="236" t="n"/>
      <c r="I314" s="118" t="n"/>
    </row>
    <row r="315">
      <c r="A315" s="236" t="inlineStr">
        <is>
          <t>O que é ser Homem</t>
        </is>
      </c>
      <c r="B315" s="165" t="n">
        <v>1</v>
      </c>
      <c r="C315" s="248" t="n">
        <v>70</v>
      </c>
      <c r="D315" s="248">
        <f>B315*C315</f>
        <v/>
      </c>
      <c r="E315" s="248" t="n"/>
      <c r="F315" s="248">
        <f>+D315+E315</f>
        <v/>
      </c>
      <c r="G315" s="186" t="n">
        <v>45957</v>
      </c>
      <c r="H315" s="236" t="n"/>
      <c r="I315" s="118" t="n"/>
    </row>
    <row r="316">
      <c r="A316" s="236" t="inlineStr">
        <is>
          <t xml:space="preserve">Joyce, o sal de Lacan       </t>
        </is>
      </c>
      <c r="B316" s="165" t="n">
        <v>1</v>
      </c>
      <c r="C316" s="248" t="n">
        <v>100</v>
      </c>
      <c r="D316" s="248">
        <f>B316*C316</f>
        <v/>
      </c>
      <c r="E316" s="248" t="n"/>
      <c r="F316" s="248">
        <f>+D316+E316</f>
        <v/>
      </c>
      <c r="G316" s="186" t="n">
        <v>45958</v>
      </c>
      <c r="H316" s="236" t="n"/>
      <c r="I316" s="118" t="n"/>
    </row>
    <row r="317">
      <c r="A317" s="236" t="inlineStr">
        <is>
          <t>Joyce, o sal de Lacan</t>
        </is>
      </c>
      <c r="B317" s="165" t="n">
        <v>46</v>
      </c>
      <c r="C317" s="248" t="n">
        <v>100</v>
      </c>
      <c r="D317" s="248">
        <f>B317*C317</f>
        <v/>
      </c>
      <c r="E317" s="248" t="n"/>
      <c r="F317" s="248">
        <f>+D317+E317</f>
        <v/>
      </c>
      <c r="G317" s="186" t="n">
        <v>45959</v>
      </c>
      <c r="H317" s="236" t="n"/>
      <c r="I317" s="118" t="n"/>
    </row>
    <row r="318">
      <c r="A318" s="236" t="inlineStr">
        <is>
          <t>O que é ser Homem</t>
        </is>
      </c>
      <c r="B318" s="165" t="n">
        <v>1</v>
      </c>
      <c r="C318" s="248" t="n">
        <v>70</v>
      </c>
      <c r="D318" s="248">
        <f>B318*C318</f>
        <v/>
      </c>
      <c r="E318" s="248" t="n"/>
      <c r="F318" s="248">
        <f>+D318+E318</f>
        <v/>
      </c>
      <c r="G318" s="186" t="n">
        <v>45959</v>
      </c>
      <c r="H318" s="236" t="n"/>
      <c r="I318" s="118" t="n"/>
    </row>
    <row r="319">
      <c r="A319" s="236" t="inlineStr">
        <is>
          <t>Joyce, o sal de Lacan</t>
        </is>
      </c>
      <c r="B319" s="165" t="n">
        <v>1</v>
      </c>
      <c r="C319" s="248" t="n">
        <v>100</v>
      </c>
      <c r="D319" s="248">
        <f>B319*C319</f>
        <v/>
      </c>
      <c r="E319" s="248" t="n"/>
      <c r="F319" s="248">
        <f>+D319+E319</f>
        <v/>
      </c>
      <c r="G319" s="186" t="n">
        <v>45961</v>
      </c>
      <c r="H319" s="236" t="n"/>
      <c r="I319" s="118" t="n"/>
    </row>
    <row r="320">
      <c r="A320" s="236" t="inlineStr">
        <is>
          <t>Seminario 15</t>
        </is>
      </c>
      <c r="B320" s="165" t="n">
        <v>1</v>
      </c>
      <c r="C320" s="248" t="n">
        <v>150</v>
      </c>
      <c r="D320" s="248">
        <f>B320*C320</f>
        <v/>
      </c>
      <c r="E320" s="248" t="n"/>
      <c r="F320" s="248">
        <f>+D320+E320</f>
        <v/>
      </c>
      <c r="G320" s="186" t="n">
        <v>45964</v>
      </c>
      <c r="H320" s="236" t="n"/>
      <c r="I320" s="118" t="n"/>
    </row>
    <row r="321">
      <c r="A321" s="236" t="inlineStr">
        <is>
          <t>O que é ser Homem</t>
        </is>
      </c>
      <c r="B321" s="165" t="n">
        <v>1</v>
      </c>
      <c r="C321" s="248" t="n">
        <v>70</v>
      </c>
      <c r="D321" s="248">
        <f>B321*C321</f>
        <v/>
      </c>
      <c r="E321" s="248" t="n"/>
      <c r="F321" s="248">
        <f>+D321+E321</f>
        <v/>
      </c>
      <c r="G321" s="186" t="n">
        <v>45964</v>
      </c>
      <c r="H321" s="236" t="n"/>
      <c r="I321" s="118" t="n"/>
    </row>
    <row r="322">
      <c r="A322" s="236" t="inlineStr">
        <is>
          <t>O que é ser Homem</t>
        </is>
      </c>
      <c r="B322" s="165" t="n">
        <v>1</v>
      </c>
      <c r="C322" s="248" t="n">
        <v>70</v>
      </c>
      <c r="D322" s="248">
        <f>B322*C322</f>
        <v/>
      </c>
      <c r="E322" s="248" t="n">
        <v>15</v>
      </c>
      <c r="F322" s="248">
        <f>+D322+E322</f>
        <v/>
      </c>
      <c r="G322" s="186" t="n">
        <v>45964</v>
      </c>
      <c r="H322" s="236" t="n"/>
      <c r="I322" s="118" t="n"/>
    </row>
    <row r="323">
      <c r="A323" s="236" t="inlineStr">
        <is>
          <t>O que é ser Homem</t>
        </is>
      </c>
      <c r="B323" s="165" t="n">
        <v>1</v>
      </c>
      <c r="C323" s="248" t="n">
        <v>70</v>
      </c>
      <c r="D323" s="248">
        <f>B323*C323</f>
        <v/>
      </c>
      <c r="E323" s="248" t="n">
        <v>15</v>
      </c>
      <c r="F323" s="248">
        <f>+D323+E323</f>
        <v/>
      </c>
      <c r="G323" s="186" t="n">
        <v>45965</v>
      </c>
      <c r="H323" s="236" t="n"/>
      <c r="I323" s="118" t="n"/>
    </row>
    <row r="324">
      <c r="A324" s="236" t="inlineStr">
        <is>
          <t>Envejecer</t>
        </is>
      </c>
      <c r="B324" s="165" t="n">
        <v>1</v>
      </c>
      <c r="C324" s="248" t="n">
        <v>100</v>
      </c>
      <c r="D324" s="248">
        <f>B324*C324</f>
        <v/>
      </c>
      <c r="E324" s="248" t="n"/>
      <c r="F324" s="248">
        <f>+D324+E324</f>
        <v/>
      </c>
      <c r="G324" s="186" t="n">
        <v>45965</v>
      </c>
      <c r="H324" s="236" t="n"/>
      <c r="I324" s="118" t="n"/>
    </row>
    <row r="325">
      <c r="A325" s="236" t="inlineStr">
        <is>
          <t>Envejecer</t>
        </is>
      </c>
      <c r="B325" s="165" t="n">
        <v>1</v>
      </c>
      <c r="C325" s="248" t="n">
        <v>100</v>
      </c>
      <c r="D325" s="248">
        <f>B325*C325</f>
        <v/>
      </c>
      <c r="E325" s="248" t="n">
        <v>15</v>
      </c>
      <c r="F325" s="248">
        <f>+D325+E325</f>
        <v/>
      </c>
      <c r="G325" s="186" t="n">
        <v>45965</v>
      </c>
      <c r="H325" s="236" t="n"/>
      <c r="I325" s="118" t="n"/>
    </row>
    <row r="326">
      <c r="A326" s="236" t="inlineStr">
        <is>
          <t>Envejecer</t>
        </is>
      </c>
      <c r="B326" s="165" t="n">
        <v>3</v>
      </c>
      <c r="C326" s="248" t="n">
        <v>100</v>
      </c>
      <c r="D326" s="248">
        <f>B326*C326</f>
        <v/>
      </c>
      <c r="E326" s="236" t="n"/>
      <c r="F326" s="248">
        <f>+D326+E326</f>
        <v/>
      </c>
      <c r="G326" s="186" t="n">
        <v>45965</v>
      </c>
      <c r="H326" s="236" t="n"/>
      <c r="I326" s="118" t="n"/>
    </row>
    <row r="327">
      <c r="A327" s="236" t="inlineStr">
        <is>
          <t>Joyce, o sal de Lacan</t>
        </is>
      </c>
      <c r="B327" s="165" t="n">
        <v>1</v>
      </c>
      <c r="C327" s="248" t="n">
        <v>100</v>
      </c>
      <c r="D327" s="248">
        <f>B327*C327</f>
        <v/>
      </c>
      <c r="E327" s="236" t="n"/>
      <c r="F327" s="248">
        <f>+D327+E327</f>
        <v/>
      </c>
      <c r="G327" s="186" t="n">
        <v>45965</v>
      </c>
      <c r="H327" s="236" t="n"/>
      <c r="I327" s="118" t="n"/>
    </row>
    <row r="328">
      <c r="A328" s="236" t="inlineStr">
        <is>
          <t xml:space="preserve">IPB - Seminários | Nieves Soria Dafunchio | Clinica da Sexuação </t>
        </is>
      </c>
      <c r="B328" s="165" t="n">
        <v>3</v>
      </c>
      <c r="C328" s="248" t="n">
        <v>20</v>
      </c>
      <c r="D328" s="248">
        <f>B328*C328</f>
        <v/>
      </c>
      <c r="E328" s="236" t="n">
        <v>20</v>
      </c>
      <c r="F328" s="248">
        <f>+D328+E328</f>
        <v/>
      </c>
      <c r="G328" s="186" t="n">
        <v>45966</v>
      </c>
      <c r="H328" s="236" t="n"/>
      <c r="I328" s="118" t="n"/>
    </row>
    <row r="329">
      <c r="A329" s="236" t="inlineStr">
        <is>
          <t>Joyce, o sal de Lacan</t>
        </is>
      </c>
      <c r="B329" s="165" t="n">
        <v>1</v>
      </c>
      <c r="C329" s="248" t="n">
        <v>100</v>
      </c>
      <c r="D329" s="248">
        <f>B329*C329</f>
        <v/>
      </c>
      <c r="E329" s="236" t="n"/>
      <c r="F329" s="248">
        <f>+D329+E329</f>
        <v/>
      </c>
      <c r="G329" s="186" t="n">
        <v>45966</v>
      </c>
      <c r="H329" s="236" t="n"/>
      <c r="I329" s="118" t="n"/>
    </row>
    <row r="330">
      <c r="A330" s="236" t="inlineStr">
        <is>
          <t>Joyce, o sal de Lacan</t>
        </is>
      </c>
      <c r="B330" s="165" t="n">
        <v>1</v>
      </c>
      <c r="C330" s="248" t="n">
        <v>100</v>
      </c>
      <c r="D330" s="248">
        <f>B330*C330</f>
        <v/>
      </c>
      <c r="E330" s="236" t="n"/>
      <c r="F330" s="248">
        <f>+D330+E330</f>
        <v/>
      </c>
      <c r="G330" s="186" t="n">
        <v>45966</v>
      </c>
      <c r="H330" s="236" t="n"/>
      <c r="I330" s="118" t="n"/>
    </row>
    <row r="331">
      <c r="A331" s="236" t="inlineStr">
        <is>
          <t>Clinica do Excesso</t>
        </is>
      </c>
      <c r="B331" s="165" t="n">
        <v>1</v>
      </c>
      <c r="C331" s="248" t="n">
        <v>120</v>
      </c>
      <c r="D331" s="248">
        <f>B331*C331</f>
        <v/>
      </c>
      <c r="E331" s="236" t="n"/>
      <c r="F331" s="248">
        <f>+D331+E331</f>
        <v/>
      </c>
      <c r="G331" s="186" t="n">
        <v>45966</v>
      </c>
      <c r="H331" s="236" t="n"/>
      <c r="I331" s="118" t="n"/>
    </row>
    <row r="332">
      <c r="A332" s="236" t="inlineStr">
        <is>
          <t>Joyce, o sal de Lacan</t>
        </is>
      </c>
      <c r="B332" s="165" t="n">
        <v>1</v>
      </c>
      <c r="C332" s="248" t="n">
        <v>100</v>
      </c>
      <c r="D332" s="248">
        <f>B332*C332</f>
        <v/>
      </c>
      <c r="E332" s="236" t="n"/>
      <c r="F332" s="248">
        <f>+D332+E332</f>
        <v/>
      </c>
      <c r="G332" s="186" t="n">
        <v>45966</v>
      </c>
      <c r="H332" s="236" t="n"/>
      <c r="I332" s="118" t="n"/>
    </row>
    <row r="333">
      <c r="A333" s="236" t="inlineStr">
        <is>
          <t>O que é ser Homem</t>
        </is>
      </c>
      <c r="B333" s="165" t="n">
        <v>1</v>
      </c>
      <c r="C333" s="248" t="n">
        <v>70</v>
      </c>
      <c r="D333" s="248">
        <f>B333*C333</f>
        <v/>
      </c>
      <c r="E333" s="248" t="n"/>
      <c r="F333" s="248">
        <f>+D333+E333</f>
        <v/>
      </c>
      <c r="G333" s="186" t="n">
        <v>45966</v>
      </c>
      <c r="H333" s="236" t="n"/>
      <c r="I333" s="118" t="n"/>
    </row>
    <row r="334">
      <c r="A334" s="236" t="inlineStr">
        <is>
          <t>Joyce, o sal de Lacan</t>
        </is>
      </c>
      <c r="B334" s="165" t="n">
        <v>1</v>
      </c>
      <c r="C334" s="248" t="n">
        <v>100</v>
      </c>
      <c r="D334" s="248">
        <f>B334*C334</f>
        <v/>
      </c>
      <c r="E334" s="248" t="n"/>
      <c r="F334" s="248">
        <f>+D334+E334</f>
        <v/>
      </c>
      <c r="G334" s="186" t="n">
        <v>45967</v>
      </c>
      <c r="H334" s="236" t="n"/>
      <c r="I334" s="118" t="n"/>
    </row>
    <row r="335">
      <c r="A335" s="236" t="inlineStr">
        <is>
          <t>O Seminário 15</t>
        </is>
      </c>
      <c r="B335" s="165" t="n">
        <v>1</v>
      </c>
      <c r="C335" s="248" t="n">
        <v>150</v>
      </c>
      <c r="D335" s="248">
        <f>B335*C335</f>
        <v/>
      </c>
      <c r="E335" s="248" t="n"/>
      <c r="F335" s="248">
        <f>+D335+E335</f>
        <v/>
      </c>
      <c r="G335" s="186" t="n">
        <v>45967</v>
      </c>
      <c r="H335" s="236" t="n"/>
      <c r="I335" s="118" t="n"/>
    </row>
    <row r="336">
      <c r="A336" s="236" t="inlineStr">
        <is>
          <t>As Paixões do Parlêtre</t>
        </is>
      </c>
      <c r="B336" s="165" t="n">
        <v>1</v>
      </c>
      <c r="C336" s="248" t="n">
        <v>100</v>
      </c>
      <c r="D336" s="248">
        <f>B336*C336</f>
        <v/>
      </c>
      <c r="E336" s="248" t="n"/>
      <c r="F336" s="248">
        <f>+D336+E336</f>
        <v/>
      </c>
      <c r="G336" s="186" t="n">
        <v>45967</v>
      </c>
      <c r="H336" s="236" t="n"/>
      <c r="I336" s="118" t="n"/>
    </row>
    <row r="337">
      <c r="A337" s="236" t="inlineStr">
        <is>
          <t>Joyce, o sal de Lacan</t>
        </is>
      </c>
      <c r="B337" s="165" t="n">
        <v>1</v>
      </c>
      <c r="C337" s="248" t="n">
        <v>100</v>
      </c>
      <c r="D337" s="248">
        <f>B337*C337</f>
        <v/>
      </c>
      <c r="E337" s="248" t="n"/>
      <c r="F337" s="248">
        <f>+D337+E337</f>
        <v/>
      </c>
      <c r="G337" s="186" t="n">
        <v>45967</v>
      </c>
      <c r="H337" s="236" t="n"/>
      <c r="I337" s="118" t="n"/>
    </row>
    <row r="338">
      <c r="A338" s="200" t="inlineStr">
        <is>
          <t xml:space="preserve">O Funcionamento do Errado - Clínica Psicanalítica Lacaniana          </t>
        </is>
      </c>
      <c r="B338" s="165" t="n">
        <v>1</v>
      </c>
      <c r="C338" s="248" t="n">
        <v>119</v>
      </c>
      <c r="D338" s="248">
        <f>B338*C338</f>
        <v/>
      </c>
      <c r="E338" s="248" t="n"/>
      <c r="F338" s="248">
        <f>+D338+E338</f>
        <v/>
      </c>
      <c r="G338" s="186" t="n">
        <v>45967</v>
      </c>
      <c r="H338" s="236" t="n"/>
      <c r="I338" s="118" t="n"/>
    </row>
    <row r="339">
      <c r="A339" s="201" t="inlineStr">
        <is>
          <t>Los impasses de la feminidad</t>
        </is>
      </c>
      <c r="B339" s="165" t="n">
        <v>1</v>
      </c>
      <c r="C339" s="248" t="n">
        <v>95</v>
      </c>
      <c r="D339" s="248">
        <f>B339*C339</f>
        <v/>
      </c>
      <c r="E339" s="248" t="n"/>
      <c r="F339" s="248">
        <f>+D339+E339</f>
        <v/>
      </c>
      <c r="G339" s="186" t="n">
        <v>45967</v>
      </c>
      <c r="H339" s="236" t="n"/>
      <c r="I339" s="118" t="n"/>
    </row>
    <row r="340">
      <c r="A340" s="201" t="inlineStr">
        <is>
          <t>Envejecer - El duelo por sí mesmo</t>
        </is>
      </c>
      <c r="B340" s="165" t="n">
        <v>1</v>
      </c>
      <c r="C340" s="248" t="n">
        <v>100</v>
      </c>
      <c r="D340" s="248">
        <f>B340*C340</f>
        <v/>
      </c>
      <c r="E340" s="248" t="n"/>
      <c r="F340" s="248">
        <f>+D340+E340</f>
        <v/>
      </c>
      <c r="G340" s="186" t="n">
        <v>45971</v>
      </c>
      <c r="H340" s="236" t="n"/>
      <c r="I340" s="118" t="n"/>
    </row>
    <row r="341">
      <c r="A341" s="201" t="inlineStr">
        <is>
          <t>Envejecer - El duelo por sí mesmo</t>
        </is>
      </c>
      <c r="B341" s="165" t="n">
        <v>1</v>
      </c>
      <c r="C341" s="248" t="n">
        <v>100</v>
      </c>
      <c r="D341" s="248">
        <f>B341*C341</f>
        <v/>
      </c>
      <c r="E341" s="248" t="n"/>
      <c r="F341" s="248">
        <f>+D341+E341</f>
        <v/>
      </c>
      <c r="G341" s="186" t="n">
        <v>45973</v>
      </c>
      <c r="H341" s="236" t="n"/>
      <c r="I341" s="118" t="n"/>
    </row>
    <row r="342">
      <c r="A342" s="201" t="inlineStr">
        <is>
          <t>Rvista El Flechazo</t>
        </is>
      </c>
      <c r="B342" s="165" t="n">
        <v>1</v>
      </c>
      <c r="C342" s="248" t="n">
        <v>90</v>
      </c>
      <c r="D342" s="248">
        <f>B342*C342</f>
        <v/>
      </c>
      <c r="E342" s="248" t="n"/>
      <c r="F342" s="248">
        <f>+D342+E342</f>
        <v/>
      </c>
      <c r="G342" s="186" t="n">
        <v>45973</v>
      </c>
      <c r="H342" s="236" t="n"/>
      <c r="I342" s="118" t="n"/>
    </row>
    <row r="343">
      <c r="A343" s="201" t="inlineStr">
        <is>
          <t>Envejecer - El duelo por sí mesmo</t>
        </is>
      </c>
      <c r="B343" s="165" t="n">
        <v>1</v>
      </c>
      <c r="C343" s="248" t="n">
        <v>100</v>
      </c>
      <c r="D343" s="248">
        <f>B343*C343</f>
        <v/>
      </c>
      <c r="E343" s="248" t="n"/>
      <c r="F343" s="248">
        <f>+D343+E343</f>
        <v/>
      </c>
      <c r="G343" s="186" t="n">
        <v>45974</v>
      </c>
      <c r="H343" s="236" t="n"/>
      <c r="I343" s="118" t="n"/>
    </row>
    <row r="344">
      <c r="A344" s="201" t="inlineStr">
        <is>
          <t>Envejecer - El duelo por sí mesmo</t>
        </is>
      </c>
      <c r="B344" s="165" t="n">
        <v>1</v>
      </c>
      <c r="C344" s="248" t="n">
        <v>100</v>
      </c>
      <c r="D344" s="248">
        <f>B344*C344</f>
        <v/>
      </c>
      <c r="E344" s="248" t="n"/>
      <c r="F344" s="248">
        <f>+D344+E344</f>
        <v/>
      </c>
      <c r="G344" s="186" t="n">
        <v>45975</v>
      </c>
      <c r="H344" s="236" t="n"/>
      <c r="I344" s="118" t="n"/>
    </row>
    <row r="345">
      <c r="A345" s="201" t="inlineStr">
        <is>
          <t>Três Segundos com Lacan</t>
        </is>
      </c>
      <c r="B345" s="165" t="n">
        <v>2</v>
      </c>
      <c r="C345" s="248" t="n">
        <v>200</v>
      </c>
      <c r="D345" s="248">
        <f>B345*C345</f>
        <v/>
      </c>
      <c r="E345" s="248" t="n"/>
      <c r="F345" s="248">
        <f>+D345+E345</f>
        <v/>
      </c>
      <c r="G345" s="186" t="n">
        <v>45980</v>
      </c>
      <c r="H345" s="236" t="n"/>
      <c r="I345" s="118" t="n"/>
    </row>
    <row r="346">
      <c r="A346" s="236" t="inlineStr">
        <is>
          <t xml:space="preserve">Retoquecitos </t>
        </is>
      </c>
      <c r="B346" s="165" t="n">
        <v>1</v>
      </c>
      <c r="C346" s="248" t="n">
        <v>85</v>
      </c>
      <c r="D346" s="248">
        <f>B346*C346</f>
        <v/>
      </c>
      <c r="E346" s="248" t="n"/>
      <c r="F346" s="248">
        <f>+D346+E346</f>
        <v/>
      </c>
      <c r="G346" s="186" t="n">
        <v>45982</v>
      </c>
      <c r="H346" s="236" t="n"/>
      <c r="I346" s="118" t="n"/>
    </row>
    <row r="347">
      <c r="A347" s="236" t="inlineStr">
        <is>
          <t>A Construção da Realidade Segundo a Psicanálise (Consignado)</t>
        </is>
      </c>
      <c r="B347" s="165" t="n">
        <v>4</v>
      </c>
      <c r="C347" s="248" t="n">
        <v>60</v>
      </c>
      <c r="D347" s="248">
        <f>B347*C347</f>
        <v/>
      </c>
      <c r="E347" s="248" t="n"/>
      <c r="F347" s="248">
        <f>+D347+E347</f>
        <v/>
      </c>
      <c r="G347" s="186" t="n">
        <v>45983</v>
      </c>
      <c r="H347" s="236" t="n"/>
      <c r="I347" s="118" t="n"/>
    </row>
    <row r="348">
      <c r="A348" s="236" t="inlineStr">
        <is>
          <t>A função do Pai na Psicanálise  (Consignado)</t>
        </is>
      </c>
      <c r="B348" s="165" t="n">
        <v>12</v>
      </c>
      <c r="C348" s="248" t="n">
        <v>75</v>
      </c>
      <c r="D348" s="248">
        <f>B348*C348</f>
        <v/>
      </c>
      <c r="E348" s="248" t="n"/>
      <c r="F348" s="248">
        <f>+D348+E348</f>
        <v/>
      </c>
      <c r="G348" s="186" t="n">
        <v>45983</v>
      </c>
      <c r="H348" s="236" t="n"/>
      <c r="I348" s="118" t="n"/>
    </row>
    <row r="349">
      <c r="A349" s="236" t="inlineStr">
        <is>
          <t>A legenda negra de Jacques Lacan</t>
        </is>
      </c>
      <c r="B349" s="165" t="n">
        <v>2</v>
      </c>
      <c r="C349" s="248" t="n">
        <v>60</v>
      </c>
      <c r="D349" s="248">
        <f>B349*C349</f>
        <v/>
      </c>
      <c r="E349" s="248" t="n"/>
      <c r="F349" s="248">
        <f>+D349+E349</f>
        <v/>
      </c>
      <c r="G349" s="186" t="n">
        <v>45983</v>
      </c>
      <c r="H349" s="236" t="n"/>
      <c r="I349" s="118" t="n"/>
    </row>
    <row r="350">
      <c r="A350" s="236" t="inlineStr">
        <is>
          <t>Agente 19</t>
        </is>
      </c>
      <c r="B350" s="165" t="n">
        <v>8</v>
      </c>
      <c r="C350" s="248" t="n">
        <v>50</v>
      </c>
      <c r="D350" s="248">
        <f>B350*C350</f>
        <v/>
      </c>
      <c r="E350" s="248" t="n"/>
      <c r="F350" s="248">
        <f>+D350+E350</f>
        <v/>
      </c>
      <c r="G350" s="186" t="n">
        <v>45983</v>
      </c>
      <c r="H350" s="236" t="n"/>
      <c r="I350" s="118" t="n"/>
    </row>
    <row r="351">
      <c r="A351" s="236" t="inlineStr">
        <is>
          <t>Agente 20</t>
        </is>
      </c>
      <c r="B351" s="165" t="n">
        <v>6</v>
      </c>
      <c r="C351" s="248" t="n">
        <v>50</v>
      </c>
      <c r="D351" s="248">
        <f>B351*C351</f>
        <v/>
      </c>
      <c r="E351" s="248" t="n"/>
      <c r="F351" s="248">
        <f>+D351+E351</f>
        <v/>
      </c>
      <c r="G351" s="186" t="n">
        <v>45983</v>
      </c>
      <c r="H351" s="236" t="n"/>
      <c r="I351" s="118" t="n"/>
    </row>
    <row r="352">
      <c r="A352" s="236" t="inlineStr">
        <is>
          <t>Agente 21</t>
        </is>
      </c>
      <c r="B352" s="165" t="n">
        <v>1</v>
      </c>
      <c r="C352" s="248" t="n">
        <v>50</v>
      </c>
      <c r="D352" s="248">
        <f>B352*C352</f>
        <v/>
      </c>
      <c r="E352" s="248" t="n"/>
      <c r="F352" s="248">
        <f>+D352+E352</f>
        <v/>
      </c>
      <c r="G352" s="186" t="n">
        <v>45983</v>
      </c>
      <c r="H352" s="236" t="n"/>
      <c r="I352" s="118" t="n"/>
    </row>
    <row r="353">
      <c r="A353" s="236" t="inlineStr">
        <is>
          <t>Angústia</t>
        </is>
      </c>
      <c r="B353" s="165" t="n">
        <v>3</v>
      </c>
      <c r="C353" s="248" t="n">
        <v>80</v>
      </c>
      <c r="D353" s="248">
        <f>B353*C353</f>
        <v/>
      </c>
      <c r="E353" s="248" t="n"/>
      <c r="F353" s="248">
        <f>+D353+E353</f>
        <v/>
      </c>
      <c r="G353" s="186" t="n">
        <v>45983</v>
      </c>
      <c r="H353" s="236" t="n"/>
      <c r="I353" s="118" t="n"/>
    </row>
    <row r="354">
      <c r="A354" s="236" t="inlineStr">
        <is>
          <t>As escritas Trans e a letra do nome próprio no corpo</t>
        </is>
      </c>
      <c r="B354" s="165" t="n">
        <v>6</v>
      </c>
      <c r="C354" s="248" t="n">
        <v>90</v>
      </c>
      <c r="D354" s="248">
        <f>B354*C354</f>
        <v/>
      </c>
      <c r="E354" s="248" t="n"/>
      <c r="F354" s="248">
        <f>+D354+E354</f>
        <v/>
      </c>
      <c r="G354" s="186" t="n">
        <v>45983</v>
      </c>
      <c r="H354" s="236" t="n"/>
      <c r="I354" s="118" t="n"/>
    </row>
    <row r="355">
      <c r="A355" s="236" t="inlineStr">
        <is>
          <t>As paixões do Parlêtre</t>
        </is>
      </c>
      <c r="B355" s="165" t="n">
        <v>6</v>
      </c>
      <c r="C355" s="248" t="n">
        <v>100</v>
      </c>
      <c r="D355" s="248">
        <f>B355*C355</f>
        <v/>
      </c>
      <c r="E355" s="248" t="n"/>
      <c r="F355" s="248">
        <f>+D355+E355</f>
        <v/>
      </c>
      <c r="G355" s="186" t="n">
        <v>45983</v>
      </c>
      <c r="H355" s="236" t="n"/>
      <c r="I355" s="118" t="n"/>
    </row>
    <row r="356">
      <c r="A356" s="236" t="inlineStr">
        <is>
          <t>Autismo cada um no seu Genoma</t>
        </is>
      </c>
      <c r="B356" s="165" t="n">
        <v>1</v>
      </c>
      <c r="C356" s="248" t="n">
        <v>40</v>
      </c>
      <c r="D356" s="248">
        <f>B356*C356</f>
        <v/>
      </c>
      <c r="E356" s="248" t="n"/>
      <c r="F356" s="248">
        <f>+D356+E356</f>
        <v/>
      </c>
      <c r="G356" s="186" t="n">
        <v>45983</v>
      </c>
      <c r="H356" s="236" t="n"/>
      <c r="I356" s="118" t="n"/>
    </row>
    <row r="357">
      <c r="A357" s="236" t="inlineStr">
        <is>
          <t>Autismo e psicose infantil</t>
        </is>
      </c>
      <c r="B357" s="165" t="n">
        <v>3</v>
      </c>
      <c r="C357" s="248" t="n">
        <v>120</v>
      </c>
      <c r="D357" s="248">
        <f>B357*C357</f>
        <v/>
      </c>
      <c r="E357" s="248" t="n"/>
      <c r="F357" s="248">
        <f>+D357+E357</f>
        <v/>
      </c>
      <c r="G357" s="186" t="n">
        <v>45983</v>
      </c>
      <c r="H357" s="236" t="n"/>
      <c r="I357" s="118" t="n"/>
    </row>
    <row r="358">
      <c r="A358" s="236" t="inlineStr">
        <is>
          <t>Brochuras carrossel</t>
        </is>
      </c>
      <c r="B358" s="165" t="n">
        <v>2</v>
      </c>
      <c r="C358" s="248" t="n">
        <v>50</v>
      </c>
      <c r="D358" s="248">
        <f>B358*C358</f>
        <v/>
      </c>
      <c r="E358" s="248" t="n"/>
      <c r="F358" s="248">
        <f>+D358+E358</f>
        <v/>
      </c>
      <c r="G358" s="186" t="n">
        <v>45983</v>
      </c>
      <c r="H358" s="236" t="n"/>
      <c r="I358" s="118" t="n"/>
    </row>
    <row r="359">
      <c r="A359" s="236" t="inlineStr">
        <is>
          <t>Clínica do Excesso</t>
        </is>
      </c>
      <c r="B359" s="165" t="n">
        <v>3</v>
      </c>
      <c r="C359" s="248" t="n">
        <v>120</v>
      </c>
      <c r="D359" s="248">
        <f>B359*C359</f>
        <v/>
      </c>
      <c r="E359" s="248" t="n"/>
      <c r="F359" s="248">
        <f>+D359+E359</f>
        <v/>
      </c>
      <c r="G359" s="186" t="n">
        <v>45983</v>
      </c>
      <c r="H359" s="236" t="n"/>
      <c r="I359" s="118" t="n"/>
    </row>
    <row r="360">
      <c r="A360" s="236" t="inlineStr">
        <is>
          <t>El nino</t>
        </is>
      </c>
      <c r="B360" s="165" t="n">
        <v>2</v>
      </c>
      <c r="C360" s="248" t="n">
        <v>60</v>
      </c>
      <c r="D360" s="248">
        <f>B360*C360</f>
        <v/>
      </c>
      <c r="E360" s="248" t="n"/>
      <c r="F360" s="248">
        <f>+D360+E360</f>
        <v/>
      </c>
      <c r="G360" s="186" t="n">
        <v>45983</v>
      </c>
      <c r="H360" s="236" t="n"/>
      <c r="I360" s="118" t="n"/>
    </row>
    <row r="361">
      <c r="A361" s="236" t="inlineStr">
        <is>
          <t>El padre em Cuestión</t>
        </is>
      </c>
      <c r="B361" s="165" t="n">
        <v>1</v>
      </c>
      <c r="C361" s="248" t="n">
        <v>90</v>
      </c>
      <c r="D361" s="248">
        <f>B361*C361</f>
        <v/>
      </c>
      <c r="E361" s="248" t="n"/>
      <c r="F361" s="248">
        <f>+D361+E361</f>
        <v/>
      </c>
      <c r="G361" s="186" t="n">
        <v>45983</v>
      </c>
      <c r="H361" s="236" t="n"/>
      <c r="I361" s="118" t="n"/>
    </row>
    <row r="362">
      <c r="A362" s="236" t="inlineStr">
        <is>
          <t>Las etrevistas Preliminares e entradas em análises</t>
        </is>
      </c>
      <c r="B362" s="165" t="n">
        <v>1</v>
      </c>
      <c r="C362" s="248" t="n">
        <v>130</v>
      </c>
      <c r="D362" s="248">
        <f>B362*C362</f>
        <v/>
      </c>
      <c r="E362" s="248" t="n"/>
      <c r="F362" s="248">
        <f>+D362+E362</f>
        <v/>
      </c>
      <c r="G362" s="186" t="n">
        <v>45983</v>
      </c>
      <c r="H362" s="236" t="n"/>
      <c r="I362" s="118" t="n"/>
    </row>
    <row r="363">
      <c r="A363" s="236" t="inlineStr">
        <is>
          <t>Envejecer</t>
        </is>
      </c>
      <c r="B363" s="165" t="n">
        <v>12</v>
      </c>
      <c r="C363" s="248" t="n">
        <v>100</v>
      </c>
      <c r="D363" s="248">
        <f>B363*C363</f>
        <v/>
      </c>
      <c r="E363" s="248" t="n"/>
      <c r="F363" s="248">
        <f>+D363+E363</f>
        <v/>
      </c>
      <c r="G363" s="186" t="n">
        <v>45983</v>
      </c>
      <c r="H363" s="236" t="n"/>
      <c r="I363" s="118" t="n"/>
    </row>
    <row r="364">
      <c r="A364" s="236" t="inlineStr">
        <is>
          <t>Felicidade e Sintoma</t>
        </is>
      </c>
      <c r="B364" s="165" t="n">
        <v>9</v>
      </c>
      <c r="C364" s="248" t="n">
        <v>40</v>
      </c>
      <c r="D364" s="248">
        <f>B364*C364</f>
        <v/>
      </c>
      <c r="E364" s="248" t="n"/>
      <c r="F364" s="248">
        <f>+D364+E364</f>
        <v/>
      </c>
      <c r="G364" s="186" t="n">
        <v>45983</v>
      </c>
      <c r="H364" s="236" t="n"/>
      <c r="I364" s="118" t="n"/>
    </row>
    <row r="365">
      <c r="A365" s="236" t="inlineStr">
        <is>
          <t>Fundamentos da prática Lacaniana</t>
        </is>
      </c>
      <c r="B365" s="165" t="n">
        <v>1</v>
      </c>
      <c r="C365" s="248" t="n">
        <v>60</v>
      </c>
      <c r="D365" s="248">
        <f>B365*C365</f>
        <v/>
      </c>
      <c r="E365" s="248" t="n"/>
      <c r="F365" s="248">
        <f>+D365+E365</f>
        <v/>
      </c>
      <c r="G365" s="186" t="n">
        <v>45983</v>
      </c>
      <c r="H365" s="236" t="n"/>
      <c r="I365" s="118" t="n"/>
    </row>
    <row r="366">
      <c r="A366" s="236" t="inlineStr">
        <is>
          <t>Joyce, o sal de Lacan</t>
        </is>
      </c>
      <c r="B366" s="165" t="n">
        <v>11</v>
      </c>
      <c r="C366" s="248" t="n">
        <v>100</v>
      </c>
      <c r="D366" s="248">
        <f>B366*C366</f>
        <v/>
      </c>
      <c r="E366" s="248" t="n"/>
      <c r="F366" s="248">
        <f>+D366+E366</f>
        <v/>
      </c>
      <c r="G366" s="186" t="n">
        <v>45983</v>
      </c>
      <c r="H366" s="236" t="n"/>
      <c r="I366" s="118" t="n"/>
    </row>
    <row r="367">
      <c r="A367" s="236" t="inlineStr">
        <is>
          <t xml:space="preserve">La diferença de los Sexos </t>
        </is>
      </c>
      <c r="B367" s="165" t="n">
        <v>4</v>
      </c>
      <c r="C367" s="248" t="n">
        <v>70</v>
      </c>
      <c r="D367" s="248">
        <f>B367*C367</f>
        <v/>
      </c>
      <c r="E367" s="248" t="n"/>
      <c r="F367" s="248">
        <f>+D367+E367</f>
        <v/>
      </c>
      <c r="G367" s="186" t="n">
        <v>45983</v>
      </c>
      <c r="H367" s="236" t="n"/>
      <c r="I367" s="118" t="n"/>
    </row>
    <row r="368">
      <c r="A368" s="236" t="inlineStr">
        <is>
          <t>Lacan e a Solução Inteligente</t>
        </is>
      </c>
      <c r="B368" s="165" t="n">
        <v>2</v>
      </c>
      <c r="C368" s="248" t="n">
        <v>70</v>
      </c>
      <c r="D368" s="248">
        <f>B368*C368</f>
        <v/>
      </c>
      <c r="E368" s="248" t="n"/>
      <c r="F368" s="248">
        <f>+D368+E368</f>
        <v/>
      </c>
      <c r="G368" s="186" t="n">
        <v>45983</v>
      </c>
      <c r="H368" s="236" t="n"/>
      <c r="I368" s="118" t="n"/>
    </row>
    <row r="369">
      <c r="A369" s="236" t="inlineStr">
        <is>
          <t>Lacan Hispano</t>
        </is>
      </c>
      <c r="B369" s="165" t="n">
        <v>1</v>
      </c>
      <c r="C369" s="248" t="n">
        <v>130</v>
      </c>
      <c r="D369" s="248">
        <f>B369*C369</f>
        <v/>
      </c>
      <c r="E369" s="248" t="n"/>
      <c r="F369" s="248">
        <f>+D369+E369</f>
        <v/>
      </c>
      <c r="G369" s="186" t="n">
        <v>45983</v>
      </c>
      <c r="H369" s="236" t="n"/>
      <c r="I369" s="118" t="n"/>
    </row>
    <row r="370">
      <c r="A370" s="236" t="inlineStr">
        <is>
          <t>Lo Feminino, entre centro y ausência</t>
        </is>
      </c>
      <c r="B370" s="165" t="n">
        <v>4</v>
      </c>
      <c r="C370" s="248" t="n">
        <v>135</v>
      </c>
      <c r="D370" s="248">
        <f>B370*C370</f>
        <v/>
      </c>
      <c r="E370" s="248" t="n"/>
      <c r="F370" s="248">
        <f>+D370+E370</f>
        <v/>
      </c>
      <c r="G370" s="186" t="n">
        <v>45983</v>
      </c>
      <c r="H370" s="236" t="n"/>
      <c r="I370" s="118" t="n"/>
    </row>
    <row r="371">
      <c r="A371" s="236" t="inlineStr">
        <is>
          <t>Los impasses de la feminidad</t>
        </is>
      </c>
      <c r="B371" s="165" t="n">
        <v>5</v>
      </c>
      <c r="C371" s="248" t="n">
        <v>95</v>
      </c>
      <c r="D371" s="248">
        <f>B371*C371</f>
        <v/>
      </c>
      <c r="E371" s="248" t="n"/>
      <c r="F371" s="248">
        <f>+D371+E371</f>
        <v/>
      </c>
      <c r="G371" s="186" t="n">
        <v>45983</v>
      </c>
      <c r="H371" s="236" t="n"/>
      <c r="I371" s="118" t="n"/>
    </row>
    <row r="372">
      <c r="A372" s="236" t="inlineStr">
        <is>
          <t>Memórias Linguagem e Mente</t>
        </is>
      </c>
      <c r="B372" s="165" t="n">
        <v>2</v>
      </c>
      <c r="C372" s="248" t="n">
        <v>60</v>
      </c>
      <c r="D372" s="248">
        <f>B372*C372</f>
        <v/>
      </c>
      <c r="E372" s="248" t="n"/>
      <c r="F372" s="248">
        <f>+D372+E372</f>
        <v/>
      </c>
      <c r="G372" s="186" t="n">
        <v>45983</v>
      </c>
      <c r="H372" s="236" t="n"/>
      <c r="I372" s="118" t="n"/>
    </row>
    <row r="373">
      <c r="A373" s="236" t="inlineStr">
        <is>
          <t>Menos que um</t>
        </is>
      </c>
      <c r="B373" s="165" t="n">
        <v>2</v>
      </c>
      <c r="C373" s="248" t="n">
        <v>40</v>
      </c>
      <c r="D373" s="248">
        <f>B373*C373</f>
        <v/>
      </c>
      <c r="E373" s="248" t="n"/>
      <c r="F373" s="248">
        <f>+D373+E373</f>
        <v/>
      </c>
      <c r="G373" s="186" t="n">
        <v>45983</v>
      </c>
      <c r="H373" s="236" t="n"/>
      <c r="I373" s="118" t="n"/>
    </row>
    <row r="374">
      <c r="A374" s="236" t="inlineStr">
        <is>
          <t>Monólogo Compartilhado com a loucura</t>
        </is>
      </c>
      <c r="B374" s="165" t="n">
        <v>2</v>
      </c>
      <c r="C374" s="248" t="n">
        <v>90</v>
      </c>
      <c r="D374" s="248">
        <f>B374*C374</f>
        <v/>
      </c>
      <c r="E374" s="236" t="n"/>
      <c r="F374" s="248">
        <f>+D374+E374</f>
        <v/>
      </c>
      <c r="G374" s="186" t="n">
        <v>45983</v>
      </c>
      <c r="H374" s="236" t="n"/>
      <c r="I374" s="118" t="n"/>
    </row>
    <row r="375">
      <c r="A375" s="236" t="inlineStr">
        <is>
          <t>O barco sexual</t>
        </is>
      </c>
      <c r="B375" s="165" t="n">
        <v>36</v>
      </c>
      <c r="C375" s="248" t="n">
        <v>80</v>
      </c>
      <c r="D375" s="248">
        <f>B375*C375</f>
        <v/>
      </c>
      <c r="E375" s="236" t="n"/>
      <c r="F375" s="248">
        <f>+D375+E375</f>
        <v/>
      </c>
      <c r="G375" s="186" t="n">
        <v>45983</v>
      </c>
      <c r="H375" s="236" t="n"/>
      <c r="I375" s="118" t="n"/>
    </row>
    <row r="376">
      <c r="A376" s="236" t="inlineStr">
        <is>
          <t>O feminino infamiliar</t>
        </is>
      </c>
      <c r="B376" s="165" t="n">
        <v>3</v>
      </c>
      <c r="C376" s="248" t="n">
        <v>55</v>
      </c>
      <c r="D376" s="248">
        <f>B376*C376</f>
        <v/>
      </c>
      <c r="E376" s="236" t="n"/>
      <c r="F376" s="248">
        <f>+D376+E376</f>
        <v/>
      </c>
      <c r="G376" s="186" t="n">
        <v>45983</v>
      </c>
      <c r="H376" s="236" t="n"/>
      <c r="I376" s="118" t="n"/>
    </row>
    <row r="377">
      <c r="A377" s="236" t="inlineStr">
        <is>
          <t xml:space="preserve">O Funcionamento do Errado - Clínica Psicanalítica Lacaniana          </t>
        </is>
      </c>
      <c r="B377" s="165" t="n">
        <v>12</v>
      </c>
      <c r="C377" s="248" t="n">
        <v>119.9</v>
      </c>
      <c r="D377" s="248">
        <f>B377*C377</f>
        <v/>
      </c>
      <c r="E377" s="236" t="n"/>
      <c r="F377" s="248">
        <f>+D377+E377</f>
        <v/>
      </c>
      <c r="G377" s="186" t="n">
        <v>45983</v>
      </c>
      <c r="H377" s="236" t="n"/>
      <c r="I377" s="118" t="n"/>
    </row>
    <row r="378">
      <c r="A378" s="236" t="inlineStr">
        <is>
          <t>O que é ser Homem  (Consignado)</t>
        </is>
      </c>
      <c r="B378" s="165" t="n">
        <v>48</v>
      </c>
      <c r="C378" s="248" t="n">
        <v>70</v>
      </c>
      <c r="D378" s="248">
        <f>B378*C378</f>
        <v/>
      </c>
      <c r="E378" s="236" t="n"/>
      <c r="F378" s="248">
        <f>+D378+E378</f>
        <v/>
      </c>
      <c r="G378" s="186" t="n">
        <v>45983</v>
      </c>
      <c r="H378" s="236" t="n"/>
      <c r="I378" s="118" t="n"/>
    </row>
    <row r="379">
      <c r="A379" s="236" t="inlineStr">
        <is>
          <t>O que esse menino tem</t>
        </is>
      </c>
      <c r="B379" s="165" t="n">
        <v>1</v>
      </c>
      <c r="C379" s="248" t="n">
        <v>55</v>
      </c>
      <c r="D379" s="248">
        <f>B379*C379</f>
        <v/>
      </c>
      <c r="E379" s="236" t="n"/>
      <c r="F379" s="248">
        <f>+D379+E379</f>
        <v/>
      </c>
      <c r="G379" s="186" t="n">
        <v>45983</v>
      </c>
      <c r="H379" s="236" t="n"/>
      <c r="I379" s="118" t="n"/>
    </row>
    <row r="380">
      <c r="A380" s="236" t="inlineStr">
        <is>
          <t>O 15 Seminário Jacques Lacan</t>
        </is>
      </c>
      <c r="B380" s="165" t="n">
        <v>1</v>
      </c>
      <c r="C380" s="248" t="n">
        <v>150</v>
      </c>
      <c r="D380" s="248">
        <f>B380*C380</f>
        <v/>
      </c>
      <c r="E380" s="236" t="n"/>
      <c r="F380" s="248">
        <f>+D380+E380</f>
        <v/>
      </c>
      <c r="G380" s="186" t="n">
        <v>45983</v>
      </c>
      <c r="H380" s="236" t="n"/>
      <c r="I380" s="118" t="n"/>
    </row>
    <row r="381">
      <c r="A381" s="236" t="inlineStr">
        <is>
          <t>Os Mortos Vivos e a Psicanálise             consignado</t>
        </is>
      </c>
      <c r="B381" s="165" t="n">
        <v>3</v>
      </c>
      <c r="C381" s="248" t="n">
        <v>90</v>
      </c>
      <c r="D381" s="248">
        <f>B381*C381</f>
        <v/>
      </c>
      <c r="E381" s="236" t="n"/>
      <c r="F381" s="248">
        <f>+D381+E381</f>
        <v/>
      </c>
      <c r="G381" s="186" t="n">
        <v>45983</v>
      </c>
      <c r="H381" s="236" t="n"/>
      <c r="I381" s="118" t="n"/>
    </row>
    <row r="382">
      <c r="A382" s="236" t="inlineStr">
        <is>
          <t>Philip Dick Com Jacques Lacan</t>
        </is>
      </c>
      <c r="B382" s="165" t="n">
        <v>3</v>
      </c>
      <c r="C382" s="248" t="n">
        <v>60</v>
      </c>
      <c r="D382" s="248">
        <f>B382*C382</f>
        <v/>
      </c>
      <c r="E382" s="236" t="n"/>
      <c r="F382" s="248">
        <f>+D382+E382</f>
        <v/>
      </c>
      <c r="G382" s="186" t="n">
        <v>45983</v>
      </c>
      <c r="H382" s="236" t="n"/>
      <c r="I382" s="118" t="n"/>
    </row>
    <row r="383">
      <c r="A383" s="236" t="inlineStr">
        <is>
          <t>Princípios de Uma psicoterapia de la psicose</t>
        </is>
      </c>
      <c r="B383" s="165" t="n">
        <v>1</v>
      </c>
      <c r="C383" s="248" t="n">
        <v>170</v>
      </c>
      <c r="D383" s="248">
        <f>B383*C383</f>
        <v/>
      </c>
      <c r="E383" s="236" t="n"/>
      <c r="F383" s="248">
        <f>+D383+E383</f>
        <v/>
      </c>
      <c r="G383" s="186" t="n">
        <v>45983</v>
      </c>
      <c r="H383" s="236" t="n"/>
      <c r="I383" s="118" t="n"/>
    </row>
    <row r="384">
      <c r="A384" s="236" t="inlineStr">
        <is>
          <t>Ruídos e silêncio</t>
        </is>
      </c>
      <c r="B384" s="165" t="n">
        <v>12</v>
      </c>
      <c r="C384" s="248" t="n">
        <v>60</v>
      </c>
      <c r="D384" s="248">
        <f>B384*C384</f>
        <v/>
      </c>
      <c r="E384" s="236" t="n"/>
      <c r="F384" s="248">
        <f>+D384+E384</f>
        <v/>
      </c>
      <c r="G384" s="186" t="n">
        <v>45983</v>
      </c>
      <c r="H384" s="236" t="n"/>
      <c r="I384" s="118" t="n"/>
    </row>
    <row r="385">
      <c r="A385" s="236" t="inlineStr">
        <is>
          <t>Seminário Nieves Soria da Funcho</t>
        </is>
      </c>
      <c r="B385" s="165" t="n">
        <v>30</v>
      </c>
      <c r="C385" s="248" t="n">
        <v>20</v>
      </c>
      <c r="D385" s="248">
        <f>B385*C385</f>
        <v/>
      </c>
      <c r="E385" s="236" t="n"/>
      <c r="F385" s="248">
        <f>+D385+E385</f>
        <v/>
      </c>
      <c r="G385" s="186" t="n">
        <v>45983</v>
      </c>
      <c r="H385" s="236" t="n"/>
      <c r="I385" s="118" t="n"/>
    </row>
    <row r="386">
      <c r="A386" s="236" t="inlineStr">
        <is>
          <t>Sonhos de Criança</t>
        </is>
      </c>
      <c r="B386" s="165" t="n">
        <v>6</v>
      </c>
      <c r="C386" s="248" t="n">
        <v>60</v>
      </c>
      <c r="D386" s="248">
        <f>B386*C386</f>
        <v/>
      </c>
      <c r="E386" s="236" t="n"/>
      <c r="F386" s="248">
        <f>+D386+E386</f>
        <v/>
      </c>
      <c r="G386" s="186" t="n">
        <v>45983</v>
      </c>
      <c r="H386" s="236" t="n"/>
      <c r="I386" s="118" t="n"/>
    </row>
    <row r="387">
      <c r="A387" s="236" t="inlineStr">
        <is>
          <t>Todo mundo é louco</t>
        </is>
      </c>
      <c r="B387" s="165" t="n">
        <v>1</v>
      </c>
      <c r="C387" s="248" t="n">
        <v>250</v>
      </c>
      <c r="D387" s="248">
        <f>B387*C387</f>
        <v/>
      </c>
      <c r="E387" s="236" t="n"/>
      <c r="F387" s="248">
        <f>+D387+E387</f>
        <v/>
      </c>
      <c r="G387" s="186" t="n">
        <v>45983</v>
      </c>
      <c r="H387" s="236" t="n"/>
      <c r="I387" s="118" t="n"/>
    </row>
    <row r="388">
      <c r="A388" s="236" t="inlineStr">
        <is>
          <t>Três segundos com Lacan</t>
        </is>
      </c>
      <c r="B388" s="165" t="n">
        <v>289</v>
      </c>
      <c r="C388" s="248" t="n">
        <v>100</v>
      </c>
      <c r="D388" s="248">
        <f>B388*C388</f>
        <v/>
      </c>
      <c r="E388" s="236" t="n"/>
      <c r="F388" s="248">
        <f>+D388+E388</f>
        <v/>
      </c>
      <c r="G388" s="186" t="n">
        <v>45983</v>
      </c>
      <c r="H388" s="236" t="n"/>
      <c r="I388" s="118" t="n"/>
    </row>
    <row r="389">
      <c r="A389" s="236" t="inlineStr">
        <is>
          <t>A Neurose Histérica na Atualidade  (Consignação)</t>
        </is>
      </c>
      <c r="B389" s="165" t="n">
        <v>16</v>
      </c>
      <c r="C389" s="248" t="n">
        <v>90</v>
      </c>
      <c r="D389" s="248">
        <f>B389*C389</f>
        <v/>
      </c>
      <c r="E389" s="236" t="n"/>
      <c r="F389" s="248">
        <f>+D389+E389</f>
        <v/>
      </c>
      <c r="G389" s="186" t="n">
        <v>45983</v>
      </c>
      <c r="H389" s="236" t="n"/>
      <c r="I389" s="118" t="n"/>
    </row>
    <row r="390">
      <c r="A390" s="236" t="inlineStr">
        <is>
          <t>O campo Uniano</t>
        </is>
      </c>
      <c r="B390" s="165" t="n">
        <v>10</v>
      </c>
      <c r="C390" s="248" t="n">
        <v>130</v>
      </c>
      <c r="D390" s="248">
        <f>B390*C390</f>
        <v/>
      </c>
      <c r="E390" s="236" t="n"/>
      <c r="F390" s="248">
        <f>+D390+E390</f>
        <v/>
      </c>
      <c r="G390" s="186" t="n">
        <v>45983</v>
      </c>
      <c r="H390" s="236" t="n"/>
      <c r="I390" s="118" t="n"/>
    </row>
    <row r="391">
      <c r="A391" s="236" t="inlineStr">
        <is>
          <t>A Morte de Si</t>
        </is>
      </c>
      <c r="B391" s="236" t="n">
        <v>14</v>
      </c>
      <c r="C391" s="248" t="n">
        <v>75</v>
      </c>
      <c r="D391" s="248">
        <f>B391*C391</f>
        <v/>
      </c>
      <c r="E391" s="236" t="n"/>
      <c r="F391" s="248">
        <f>+D391+E391</f>
        <v/>
      </c>
      <c r="G391" s="186" t="n">
        <v>45983</v>
      </c>
      <c r="H391" s="236" t="n"/>
      <c r="I391" s="118" t="n"/>
    </row>
    <row r="392">
      <c r="A392" s="236" t="inlineStr">
        <is>
          <t>Correio 57</t>
        </is>
      </c>
      <c r="B392" s="236" t="n">
        <v>12</v>
      </c>
      <c r="C392" s="248" t="n">
        <v>5</v>
      </c>
      <c r="D392" s="248">
        <f>B392*C392</f>
        <v/>
      </c>
      <c r="E392" s="236" t="n"/>
      <c r="F392" s="248">
        <f>+D392+E392</f>
        <v/>
      </c>
      <c r="G392" s="186" t="n">
        <v>45983</v>
      </c>
      <c r="H392" s="236" t="n"/>
      <c r="I392" s="118" t="n"/>
    </row>
    <row r="393">
      <c r="A393" s="236" t="inlineStr">
        <is>
          <t>Correio 54</t>
        </is>
      </c>
      <c r="B393" s="236" t="n">
        <v>4</v>
      </c>
      <c r="C393" s="248" t="n">
        <v>5</v>
      </c>
      <c r="D393" s="248">
        <f>B393*C393</f>
        <v/>
      </c>
      <c r="E393" s="236" t="n"/>
      <c r="F393" s="248">
        <f>+D393+E393</f>
        <v/>
      </c>
      <c r="G393" s="186" t="n">
        <v>45983</v>
      </c>
      <c r="H393" s="236" t="n"/>
      <c r="I393" s="118" t="n"/>
    </row>
    <row r="394">
      <c r="A394" s="236" t="inlineStr">
        <is>
          <t>Correio 55</t>
        </is>
      </c>
      <c r="B394" s="236" t="n">
        <v>8</v>
      </c>
      <c r="C394" s="248" t="n">
        <v>5</v>
      </c>
      <c r="D394" s="248">
        <f>B394*C394</f>
        <v/>
      </c>
      <c r="E394" s="236" t="n"/>
      <c r="F394" s="248">
        <f>+D394+E394</f>
        <v/>
      </c>
      <c r="G394" s="186" t="n">
        <v>45983</v>
      </c>
      <c r="H394" s="236" t="n"/>
      <c r="I394" s="118" t="n"/>
    </row>
    <row r="395">
      <c r="A395" s="236" t="inlineStr">
        <is>
          <t>Correio  53</t>
        </is>
      </c>
      <c r="B395" s="236" t="n">
        <v>3</v>
      </c>
      <c r="C395" s="248" t="n">
        <v>5</v>
      </c>
      <c r="D395" s="248">
        <f>B395*C395</f>
        <v/>
      </c>
      <c r="E395" s="236" t="n"/>
      <c r="F395" s="248">
        <f>+D395+E395</f>
        <v/>
      </c>
      <c r="G395" s="186" t="n">
        <v>45983</v>
      </c>
      <c r="H395" s="236" t="n"/>
      <c r="I395" s="118" t="n"/>
    </row>
    <row r="396">
      <c r="A396" s="236" t="inlineStr">
        <is>
          <t>Correio 45</t>
        </is>
      </c>
      <c r="B396" s="236" t="n">
        <v>2</v>
      </c>
      <c r="C396" s="248" t="n">
        <v>5</v>
      </c>
      <c r="D396" s="248">
        <f>B396*C396</f>
        <v/>
      </c>
      <c r="E396" s="236" t="n"/>
      <c r="F396" s="248">
        <f>+D396+E396</f>
        <v/>
      </c>
      <c r="G396" s="186" t="n">
        <v>45983</v>
      </c>
      <c r="H396" s="236" t="n"/>
      <c r="I396" s="118" t="n"/>
    </row>
    <row r="397">
      <c r="A397" s="236" t="inlineStr">
        <is>
          <t>Correio 46</t>
        </is>
      </c>
      <c r="B397" s="236" t="n">
        <v>4</v>
      </c>
      <c r="C397" s="248" t="n">
        <v>5</v>
      </c>
      <c r="D397" s="248">
        <f>B397*C397</f>
        <v/>
      </c>
      <c r="E397" s="236" t="n"/>
      <c r="F397" s="248">
        <f>+D397+E397</f>
        <v/>
      </c>
      <c r="G397" s="186" t="n">
        <v>45983</v>
      </c>
      <c r="H397" s="236" t="n"/>
      <c r="I397" s="118" t="n"/>
    </row>
    <row r="398">
      <c r="A398" s="236" t="inlineStr">
        <is>
          <t>Correio 49</t>
        </is>
      </c>
      <c r="B398" s="236" t="n">
        <v>1</v>
      </c>
      <c r="C398" s="248" t="n">
        <v>5</v>
      </c>
      <c r="D398" s="248">
        <f>B398*C398</f>
        <v/>
      </c>
      <c r="E398" s="236" t="n"/>
      <c r="F398" s="248">
        <f>+D398+E398</f>
        <v/>
      </c>
      <c r="G398" s="186" t="n">
        <v>45983</v>
      </c>
      <c r="H398" s="236" t="n"/>
      <c r="I398" s="118" t="n"/>
    </row>
    <row r="399">
      <c r="A399" s="236" t="inlineStr">
        <is>
          <t>Correio 39</t>
        </is>
      </c>
      <c r="B399" s="236" t="n">
        <v>2</v>
      </c>
      <c r="C399" s="248" t="n">
        <v>5</v>
      </c>
      <c r="D399" s="248">
        <f>B399*C399</f>
        <v/>
      </c>
      <c r="E399" s="236" t="n"/>
      <c r="F399" s="248">
        <f>+D399+E399</f>
        <v/>
      </c>
      <c r="G399" s="186" t="n">
        <v>45983</v>
      </c>
      <c r="H399" s="236" t="n"/>
      <c r="I399" s="118" t="n"/>
    </row>
    <row r="400">
      <c r="A400" s="236" t="inlineStr">
        <is>
          <t>O infantil</t>
        </is>
      </c>
      <c r="B400" s="236" t="n">
        <v>3</v>
      </c>
      <c r="C400" s="248" t="n">
        <v>20</v>
      </c>
      <c r="D400" s="248">
        <f>B400*C400</f>
        <v/>
      </c>
      <c r="E400" s="236" t="n"/>
      <c r="F400" s="248">
        <f>+D400+E400</f>
        <v/>
      </c>
      <c r="G400" s="186" t="n">
        <v>45983</v>
      </c>
      <c r="H400" s="236" t="n"/>
      <c r="I400" s="118" t="n"/>
    </row>
    <row r="401">
      <c r="A401" s="236" t="inlineStr">
        <is>
          <t>Agente 10</t>
        </is>
      </c>
      <c r="B401" s="236" t="n">
        <v>10</v>
      </c>
      <c r="C401" s="248" t="n">
        <v>10</v>
      </c>
      <c r="D401" s="248">
        <f>B401*C401</f>
        <v/>
      </c>
      <c r="E401" s="236" t="n"/>
      <c r="F401" s="248">
        <f>+D401+E401</f>
        <v/>
      </c>
      <c r="G401" s="186" t="n">
        <v>45983</v>
      </c>
      <c r="H401" s="236" t="n"/>
      <c r="I401" s="118" t="n"/>
    </row>
    <row r="402">
      <c r="A402" s="236" t="inlineStr">
        <is>
          <t>Correio76</t>
        </is>
      </c>
      <c r="B402" s="236" t="n">
        <v>6</v>
      </c>
      <c r="C402" s="248" t="n">
        <v>5</v>
      </c>
      <c r="D402" s="248">
        <f>B402*C402</f>
        <v/>
      </c>
      <c r="E402" s="236" t="n"/>
      <c r="F402" s="248">
        <f>+D402+E402</f>
        <v/>
      </c>
      <c r="G402" s="186" t="n">
        <v>45983</v>
      </c>
      <c r="H402" s="236" t="n"/>
      <c r="I402" s="118" t="n"/>
    </row>
    <row r="403">
      <c r="A403" s="236" t="inlineStr">
        <is>
          <t>Correio 2006</t>
        </is>
      </c>
      <c r="B403" s="236" t="n">
        <v>4</v>
      </c>
      <c r="C403" s="248" t="n">
        <v>5</v>
      </c>
      <c r="D403" s="248">
        <f>B403*C403</f>
        <v/>
      </c>
      <c r="E403" s="236" t="n"/>
      <c r="F403" s="248">
        <f>+D403+E403</f>
        <v/>
      </c>
      <c r="G403" s="186" t="n">
        <v>45983</v>
      </c>
      <c r="H403" s="236" t="n"/>
      <c r="I403" s="118" t="n"/>
    </row>
    <row r="404">
      <c r="A404" s="236" t="inlineStr">
        <is>
          <t>Agente 14</t>
        </is>
      </c>
      <c r="B404" s="236" t="n">
        <v>4</v>
      </c>
      <c r="C404" s="248" t="n">
        <v>10</v>
      </c>
      <c r="D404" s="248">
        <f>B404*C404</f>
        <v/>
      </c>
      <c r="E404" s="236" t="n"/>
      <c r="F404" s="248">
        <f>+D404+E404</f>
        <v/>
      </c>
      <c r="G404" s="186" t="n">
        <v>45983</v>
      </c>
      <c r="H404" s="236" t="n"/>
      <c r="I404" s="118" t="n"/>
    </row>
    <row r="405">
      <c r="A405" s="236" t="inlineStr">
        <is>
          <t>Agente 54</t>
        </is>
      </c>
      <c r="B405" s="236" t="n">
        <v>1</v>
      </c>
      <c r="C405" s="248" t="n">
        <v>10</v>
      </c>
      <c r="D405" s="248">
        <f>B405*C405</f>
        <v/>
      </c>
      <c r="E405" s="236" t="n"/>
      <c r="F405" s="248">
        <f>+D405+E405</f>
        <v/>
      </c>
      <c r="G405" s="186" t="n">
        <v>45983</v>
      </c>
      <c r="H405" s="236" t="n"/>
      <c r="I405" s="118" t="n"/>
    </row>
    <row r="406">
      <c r="A406" s="236" t="inlineStr">
        <is>
          <t>Agente 57</t>
        </is>
      </c>
      <c r="B406" s="236" t="n">
        <v>1</v>
      </c>
      <c r="C406" s="248" t="n">
        <v>10</v>
      </c>
      <c r="D406" s="248">
        <f>B406*C406</f>
        <v/>
      </c>
      <c r="E406" s="236" t="n"/>
      <c r="F406" s="248">
        <f>+D406+E406</f>
        <v/>
      </c>
      <c r="G406" s="186" t="n">
        <v>45983</v>
      </c>
      <c r="H406" s="236" t="n"/>
      <c r="I406" s="118" t="n"/>
    </row>
    <row r="407">
      <c r="A407" s="236" t="inlineStr">
        <is>
          <t>Agente 53</t>
        </is>
      </c>
      <c r="B407" s="231" t="n">
        <v>1</v>
      </c>
      <c r="C407" s="232" t="n">
        <v>10</v>
      </c>
      <c r="D407" s="233">
        <f>B407*C407</f>
        <v/>
      </c>
      <c r="E407" s="236" t="n"/>
      <c r="F407" s="234">
        <f>+D407+E407</f>
        <v/>
      </c>
      <c r="G407" s="186" t="n">
        <v>45983</v>
      </c>
      <c r="H407" s="236" t="n"/>
      <c r="I407" s="118" t="n"/>
    </row>
    <row r="408">
      <c r="A408" s="236" t="inlineStr">
        <is>
          <t>Agente 76</t>
        </is>
      </c>
      <c r="B408" s="231" t="n">
        <v>1</v>
      </c>
      <c r="C408" s="232" t="n">
        <v>10</v>
      </c>
      <c r="D408" s="233">
        <f>B408*C408</f>
        <v/>
      </c>
      <c r="E408" s="236" t="n"/>
      <c r="F408" s="234">
        <f>+D408+E408</f>
        <v/>
      </c>
      <c r="G408" s="186" t="n">
        <v>45983</v>
      </c>
      <c r="H408" s="236" t="n"/>
      <c r="I408" s="118" t="n"/>
    </row>
    <row r="409">
      <c r="A409" s="236" t="inlineStr">
        <is>
          <t>Agente 46</t>
        </is>
      </c>
      <c r="B409" s="231" t="n">
        <v>1</v>
      </c>
      <c r="C409" s="232" t="n">
        <v>10</v>
      </c>
      <c r="D409" s="233">
        <f>B409*C409</f>
        <v/>
      </c>
      <c r="E409" s="236" t="n"/>
      <c r="F409" s="234">
        <f>+D409+E409</f>
        <v/>
      </c>
      <c r="G409" s="186" t="n">
        <v>45983</v>
      </c>
      <c r="H409" s="236" t="n"/>
      <c r="I409" s="118" t="n"/>
    </row>
    <row r="410">
      <c r="A410" s="111" t="inlineStr">
        <is>
          <t>Agente 06</t>
        </is>
      </c>
      <c r="B410" s="231" t="n">
        <v>5</v>
      </c>
      <c r="C410" s="232" t="n">
        <v>10</v>
      </c>
      <c r="D410" s="235">
        <f>B410*C410</f>
        <v/>
      </c>
      <c r="E410" s="236" t="n"/>
      <c r="F410" s="234">
        <f>+D410+E410</f>
        <v/>
      </c>
      <c r="G410" s="186" t="n">
        <v>45983</v>
      </c>
      <c r="H410" s="236" t="n"/>
      <c r="I410" s="118" t="n"/>
    </row>
    <row r="411">
      <c r="A411" s="236" t="inlineStr">
        <is>
          <t>O que é ser homem</t>
        </is>
      </c>
      <c r="B411" s="236" t="n">
        <v>1</v>
      </c>
      <c r="C411" s="248" t="n">
        <v>70</v>
      </c>
      <c r="D411" s="233">
        <f>B411*C411</f>
        <v/>
      </c>
      <c r="E411" s="236" t="n"/>
      <c r="F411" s="234">
        <f>+D411+E411</f>
        <v/>
      </c>
      <c r="G411" s="186" t="n">
        <v>45986</v>
      </c>
      <c r="H411" s="236" t="n"/>
      <c r="I411" s="118" t="n"/>
    </row>
    <row r="412">
      <c r="A412" s="236" t="inlineStr">
        <is>
          <t>Tres segundos com lacan</t>
        </is>
      </c>
      <c r="B412" s="236" t="n">
        <v>1</v>
      </c>
      <c r="C412" s="248" t="n">
        <v>100</v>
      </c>
      <c r="D412" s="233">
        <f>B412*C412</f>
        <v/>
      </c>
      <c r="E412" s="248" t="n">
        <v>15</v>
      </c>
      <c r="F412" s="234">
        <f>+D412+E412</f>
        <v/>
      </c>
      <c r="G412" s="186" t="n">
        <v>45986</v>
      </c>
      <c r="H412" s="236" t="n"/>
      <c r="I412" s="118" t="n"/>
    </row>
    <row r="413">
      <c r="A413" s="236" t="inlineStr">
        <is>
          <t>Tres segundos com lacan</t>
        </is>
      </c>
      <c r="B413" s="236" t="n">
        <v>1</v>
      </c>
      <c r="C413" s="248" t="n">
        <v>100</v>
      </c>
      <c r="D413" s="233">
        <f>B413*C413</f>
        <v/>
      </c>
      <c r="E413" s="248" t="n"/>
      <c r="F413" s="234">
        <f>+D413+E413</f>
        <v/>
      </c>
      <c r="G413" s="186" t="n">
        <v>45986</v>
      </c>
      <c r="H413" s="236" t="n"/>
      <c r="I413" s="118" t="n"/>
    </row>
    <row r="414">
      <c r="A414" s="236" t="inlineStr">
        <is>
          <t>O barco sexual</t>
        </is>
      </c>
      <c r="B414" s="236" t="n">
        <v>1</v>
      </c>
      <c r="C414" s="248" t="n">
        <v>80</v>
      </c>
      <c r="D414" s="233">
        <f>B414*C414</f>
        <v/>
      </c>
      <c r="E414" s="248" t="n"/>
      <c r="F414" s="234">
        <f>+D414+E414</f>
        <v/>
      </c>
      <c r="G414" s="186" t="n">
        <v>45986</v>
      </c>
      <c r="H414" s="236" t="n"/>
      <c r="I414" s="118" t="n"/>
    </row>
    <row r="415">
      <c r="A415" s="236" t="inlineStr">
        <is>
          <t>Tres segundos com lacan</t>
        </is>
      </c>
      <c r="B415" s="236" t="n">
        <v>1</v>
      </c>
      <c r="C415" s="248" t="n">
        <v>100</v>
      </c>
      <c r="D415" s="233">
        <f>B415*C415</f>
        <v/>
      </c>
      <c r="E415" s="248" t="n"/>
      <c r="F415" s="234">
        <f>+D415+E415</f>
        <v/>
      </c>
      <c r="G415" s="186" t="n">
        <v>45987</v>
      </c>
      <c r="H415" s="236" t="n"/>
      <c r="I415" s="118" t="n"/>
    </row>
    <row r="416">
      <c r="A416" s="236" t="inlineStr">
        <is>
          <t>O Barco Sexual</t>
        </is>
      </c>
      <c r="B416" s="236" t="n">
        <v>1</v>
      </c>
      <c r="C416" s="248" t="n">
        <v>80</v>
      </c>
      <c r="D416" s="233">
        <f>B416*C416</f>
        <v/>
      </c>
      <c r="E416" s="248" t="n"/>
      <c r="F416" s="234">
        <f>+D416+E416</f>
        <v/>
      </c>
      <c r="G416" s="186" t="n">
        <v>45987</v>
      </c>
      <c r="H416" s="236" t="n"/>
      <c r="I416" s="118" t="n"/>
    </row>
    <row r="417">
      <c r="A417" s="236" t="inlineStr">
        <is>
          <t>Los impasses de la feminidad</t>
        </is>
      </c>
      <c r="B417" s="236" t="n">
        <v>1</v>
      </c>
      <c r="C417" s="248" t="n">
        <v>95</v>
      </c>
      <c r="D417" s="233">
        <f>B417*C417</f>
        <v/>
      </c>
      <c r="E417" s="248" t="n"/>
      <c r="F417" s="234">
        <f>+D417+E417</f>
        <v/>
      </c>
      <c r="G417" s="186" t="n">
        <v>45989</v>
      </c>
      <c r="H417" s="236" t="n"/>
      <c r="I417" s="118" t="n"/>
    </row>
    <row r="418">
      <c r="A418" s="236" t="inlineStr">
        <is>
          <t>Três Segundos com Lacan</t>
        </is>
      </c>
      <c r="B418" s="236" t="n">
        <v>1</v>
      </c>
      <c r="C418" s="248" t="n">
        <v>100</v>
      </c>
      <c r="D418" s="233">
        <f>B418*C418</f>
        <v/>
      </c>
      <c r="E418" s="248" t="n"/>
      <c r="F418" s="234">
        <f>+D418+E418</f>
        <v/>
      </c>
      <c r="G418" s="186" t="n">
        <v>45989</v>
      </c>
      <c r="H418" s="236" t="n"/>
      <c r="I418" s="118" t="n"/>
    </row>
    <row r="419">
      <c r="A419" s="200" t="inlineStr">
        <is>
          <t>IPB - Seminários | Nieves Soria Dafunchio | Clinica da Sexuação | Inibição, sintoma e angustia</t>
        </is>
      </c>
      <c r="B419" s="236" t="n">
        <v>1</v>
      </c>
      <c r="C419" s="248" t="n">
        <v>20</v>
      </c>
      <c r="D419" s="233">
        <f>B419*C419</f>
        <v/>
      </c>
      <c r="E419" s="248" t="n">
        <v>15</v>
      </c>
      <c r="F419" s="234">
        <f>+D419+E419</f>
        <v/>
      </c>
      <c r="G419" s="186" t="n">
        <v>45989</v>
      </c>
      <c r="H419" s="236" t="n"/>
      <c r="I419" s="118" t="n"/>
    </row>
    <row r="420">
      <c r="A420" s="200" t="inlineStr">
        <is>
          <t xml:space="preserve">Três Segundos com Lacan     </t>
        </is>
      </c>
      <c r="B420" s="236" t="n">
        <v>1</v>
      </c>
      <c r="C420" s="248" t="n">
        <v>100</v>
      </c>
      <c r="D420" s="233">
        <f>B420*C420</f>
        <v/>
      </c>
      <c r="E420" s="248" t="n"/>
      <c r="F420" s="234">
        <f>+D420+E420</f>
        <v/>
      </c>
      <c r="G420" s="186" t="n">
        <v>45989</v>
      </c>
      <c r="H420" s="236" t="n"/>
      <c r="I420" s="118" t="n"/>
    </row>
    <row r="421">
      <c r="A421" s="236" t="inlineStr">
        <is>
          <t>O barco sexual</t>
        </is>
      </c>
      <c r="B421" s="236" t="n">
        <v>14</v>
      </c>
      <c r="C421" s="248" t="n">
        <v>80</v>
      </c>
      <c r="D421" s="233">
        <f>B421*C421</f>
        <v/>
      </c>
      <c r="E421" s="248" t="n"/>
      <c r="F421" s="234">
        <f>+D421+E421</f>
        <v/>
      </c>
      <c r="G421" s="186" t="n">
        <v>45989</v>
      </c>
      <c r="H421" s="236" t="n"/>
      <c r="I421" s="118" t="n"/>
    </row>
    <row r="422">
      <c r="A422" s="236" t="inlineStr">
        <is>
          <t>O barco sexual</t>
        </is>
      </c>
      <c r="B422" s="236" t="n">
        <v>1</v>
      </c>
      <c r="C422" s="248" t="n">
        <v>80</v>
      </c>
      <c r="D422" s="233">
        <f>B422*C422</f>
        <v/>
      </c>
      <c r="E422" s="248" t="n"/>
      <c r="F422" s="234">
        <f>+D422+E422</f>
        <v/>
      </c>
      <c r="G422" s="186" t="n">
        <v>45992</v>
      </c>
      <c r="H422" s="236" t="n"/>
      <c r="I422" s="118" t="n"/>
    </row>
    <row r="423">
      <c r="A423" s="236" t="inlineStr">
        <is>
          <t>Colifon 33, Correio 53, Agente 14, Agente 12</t>
        </is>
      </c>
      <c r="B423" s="236" t="n">
        <v>4</v>
      </c>
      <c r="C423" s="248" t="n">
        <v>35</v>
      </c>
      <c r="D423" s="233">
        <f>B423*C423</f>
        <v/>
      </c>
      <c r="E423" s="248" t="n"/>
      <c r="F423" s="234">
        <f>+D423+E423</f>
        <v/>
      </c>
      <c r="G423" s="186" t="n">
        <v>45992</v>
      </c>
      <c r="H423" s="236" t="n"/>
      <c r="I423" s="118" t="n"/>
    </row>
    <row r="424">
      <c r="A424" s="236" t="inlineStr">
        <is>
          <t>Tres segundos com lacan</t>
        </is>
      </c>
      <c r="B424" s="236" t="n">
        <v>1</v>
      </c>
      <c r="C424" s="248" t="n">
        <v>100</v>
      </c>
      <c r="D424" s="233">
        <f>B424*C424</f>
        <v/>
      </c>
      <c r="E424" s="248" t="n">
        <v>15</v>
      </c>
      <c r="F424" s="234">
        <f>+D424+E424</f>
        <v/>
      </c>
      <c r="G424" s="186" t="n">
        <v>45994</v>
      </c>
      <c r="H424" s="236" t="n"/>
      <c r="I424" s="118" t="n"/>
    </row>
    <row r="425">
      <c r="A425" s="236" t="inlineStr">
        <is>
          <t>Tres segundos com lacan</t>
        </is>
      </c>
      <c r="B425" s="236" t="n">
        <v>1</v>
      </c>
      <c r="C425" s="248" t="n">
        <v>100</v>
      </c>
      <c r="D425" s="233">
        <f>B425*C425</f>
        <v/>
      </c>
      <c r="E425" s="248" t="n"/>
      <c r="F425" s="234">
        <f>+D425+E425</f>
        <v/>
      </c>
      <c r="G425" s="186" t="n">
        <v>45995</v>
      </c>
      <c r="H425" s="236" t="n"/>
      <c r="I425" s="118" t="n"/>
    </row>
    <row r="426">
      <c r="A426" s="236" t="inlineStr">
        <is>
          <t>O barco sexual</t>
        </is>
      </c>
      <c r="B426" s="236" t="n">
        <v>1</v>
      </c>
      <c r="C426" s="248" t="n">
        <v>80</v>
      </c>
      <c r="D426" s="233">
        <f>B426*C426</f>
        <v/>
      </c>
      <c r="E426" s="248" t="n"/>
      <c r="F426" s="234">
        <f>+D426+E426</f>
        <v/>
      </c>
      <c r="G426" s="186" t="n">
        <v>46000</v>
      </c>
      <c r="H426" s="236" t="n"/>
      <c r="I426" s="118" t="n"/>
    </row>
    <row r="427">
      <c r="A427" s="236" t="inlineStr">
        <is>
          <t>O que é ser homem</t>
        </is>
      </c>
      <c r="B427" s="236" t="n">
        <v>1</v>
      </c>
      <c r="C427" s="248" t="n">
        <v>70</v>
      </c>
      <c r="D427" s="233">
        <f>B427*C427</f>
        <v/>
      </c>
      <c r="E427" s="248" t="n"/>
      <c r="F427" s="234">
        <f>+D427+E427</f>
        <v/>
      </c>
      <c r="G427" s="186" t="n">
        <v>46001</v>
      </c>
      <c r="H427" s="236" t="n"/>
      <c r="I427" s="118" t="n"/>
    </row>
    <row r="428">
      <c r="A428" s="236" t="inlineStr">
        <is>
          <t>O que é ser homem</t>
        </is>
      </c>
      <c r="B428" s="236" t="n">
        <v>7</v>
      </c>
      <c r="C428" s="248" t="n">
        <v>70</v>
      </c>
      <c r="D428" s="233">
        <f>B428*C428</f>
        <v/>
      </c>
      <c r="E428" s="248" t="n"/>
      <c r="F428" s="234">
        <f>+D428+E428</f>
        <v/>
      </c>
      <c r="G428" s="186" t="n">
        <v>46002</v>
      </c>
      <c r="H428" s="236" t="n"/>
      <c r="I428" s="118" t="n"/>
    </row>
    <row r="429">
      <c r="A429" s="236" t="inlineStr">
        <is>
          <t>O que é ser homem</t>
        </is>
      </c>
      <c r="B429" s="236" t="n">
        <v>1</v>
      </c>
      <c r="C429" s="248" t="n">
        <v>70</v>
      </c>
      <c r="D429" s="233">
        <f>B429*C429</f>
        <v/>
      </c>
      <c r="E429" s="248" t="n">
        <v>15</v>
      </c>
      <c r="F429" s="234">
        <f>+D429+E429</f>
        <v/>
      </c>
      <c r="G429" s="186" t="n">
        <v>46002</v>
      </c>
      <c r="H429" s="236" t="n"/>
      <c r="I429" s="118" t="n"/>
    </row>
    <row r="430">
      <c r="A430" s="236" t="inlineStr">
        <is>
          <t>O que é ser homem</t>
        </is>
      </c>
      <c r="B430" s="236" t="n">
        <v>1</v>
      </c>
      <c r="C430" s="248" t="n">
        <v>70</v>
      </c>
      <c r="D430" s="233">
        <f>B430*C430</f>
        <v/>
      </c>
      <c r="E430" s="248" t="n">
        <v>15</v>
      </c>
      <c r="F430" s="234">
        <f>+D430+E430</f>
        <v/>
      </c>
      <c r="G430" s="186" t="n">
        <v>46003</v>
      </c>
      <c r="H430" s="236" t="n"/>
      <c r="I430" s="118" t="n"/>
    </row>
    <row r="431">
      <c r="A431" s="236" t="inlineStr">
        <is>
          <t xml:space="preserve">O Funcionamento do Errado - Clínica Psicanalítica Lacaniana          </t>
        </is>
      </c>
      <c r="B431" s="236" t="n">
        <v>1</v>
      </c>
      <c r="C431" s="248" t="n">
        <v>119</v>
      </c>
      <c r="D431" s="233">
        <f>B431*C431</f>
        <v/>
      </c>
      <c r="E431" s="248" t="n"/>
      <c r="F431" s="234">
        <f>+D431+E431</f>
        <v/>
      </c>
      <c r="G431" s="186" t="n">
        <v>46003</v>
      </c>
      <c r="H431" s="236" t="n"/>
      <c r="I431" s="118" t="n"/>
    </row>
    <row r="432">
      <c r="A432" s="236" t="inlineStr">
        <is>
          <t>Retoquitos</t>
        </is>
      </c>
      <c r="B432" s="236" t="n">
        <v>1</v>
      </c>
      <c r="C432" s="248" t="n">
        <v>85</v>
      </c>
      <c r="D432" s="233">
        <f>B432*C432</f>
        <v/>
      </c>
      <c r="E432" s="248" t="n"/>
      <c r="F432" s="234">
        <f>+D432+E432</f>
        <v/>
      </c>
      <c r="G432" s="186" t="n">
        <v>46003</v>
      </c>
      <c r="H432" s="236" t="n"/>
      <c r="I432" s="118" t="n"/>
    </row>
    <row r="433">
      <c r="A433" s="236" t="inlineStr">
        <is>
          <t>Agente 14</t>
        </is>
      </c>
      <c r="B433" s="236" t="n">
        <v>1</v>
      </c>
      <c r="C433" s="248" t="n">
        <v>15</v>
      </c>
      <c r="D433" s="233">
        <f>B433*C433</f>
        <v/>
      </c>
      <c r="E433" s="248" t="n">
        <v>10</v>
      </c>
      <c r="F433" s="234">
        <f>+D433+E433</f>
        <v/>
      </c>
      <c r="G433" s="186" t="n">
        <v>46003</v>
      </c>
      <c r="H433" s="236" t="n"/>
      <c r="I433" s="118" t="n"/>
    </row>
    <row r="434">
      <c r="A434" s="236" t="inlineStr">
        <is>
          <t>Agente 20</t>
        </is>
      </c>
      <c r="B434" s="236" t="n">
        <v>1</v>
      </c>
      <c r="C434" s="248" t="n">
        <v>50</v>
      </c>
      <c r="D434" s="233">
        <f>B434*C434</f>
        <v/>
      </c>
      <c r="E434" s="248" t="n">
        <v>10</v>
      </c>
      <c r="F434" s="234">
        <f>+D434+E434</f>
        <v/>
      </c>
      <c r="G434" s="237" t="inlineStr">
        <is>
          <t>12/20/2025</t>
        </is>
      </c>
      <c r="H434" s="236" t="n"/>
      <c r="I434" s="118" t="n"/>
    </row>
    <row r="435">
      <c r="A435" s="236" t="inlineStr">
        <is>
          <t>Tres segundos com lacan</t>
        </is>
      </c>
      <c r="B435" s="236" t="n">
        <v>1</v>
      </c>
      <c r="C435" s="248" t="n">
        <v>100</v>
      </c>
      <c r="D435" s="233">
        <f>B435*C435</f>
        <v/>
      </c>
      <c r="E435" s="248" t="n"/>
      <c r="F435" s="234">
        <f>+D435+E435</f>
        <v/>
      </c>
      <c r="G435" s="186" t="n">
        <v>46003</v>
      </c>
      <c r="H435" s="236" t="n"/>
      <c r="I435" s="118" t="n"/>
    </row>
    <row r="436">
      <c r="A436" s="200" t="inlineStr">
        <is>
          <t>IPB - Seminários | Nieves Soria Dafunchio | Clinica da Sexuação | Inibição, sintoma e angustia</t>
        </is>
      </c>
      <c r="B436" s="236" t="n">
        <v>15</v>
      </c>
      <c r="C436" s="248" t="n">
        <v>20</v>
      </c>
      <c r="D436" s="233">
        <f>B436*C436</f>
        <v/>
      </c>
      <c r="E436" s="248" t="n"/>
      <c r="F436" s="234">
        <f>+D436+E436</f>
        <v/>
      </c>
      <c r="G436" s="186" t="n">
        <v>46006</v>
      </c>
      <c r="H436" s="236" t="n"/>
      <c r="I436" s="118" t="n"/>
    </row>
    <row r="437">
      <c r="A437" s="236" t="inlineStr">
        <is>
          <t>Agente 14</t>
        </is>
      </c>
      <c r="B437" s="236" t="n">
        <v>2</v>
      </c>
      <c r="C437" s="248" t="n">
        <v>10</v>
      </c>
      <c r="D437" s="233">
        <f>B437*C437</f>
        <v/>
      </c>
      <c r="E437" s="248" t="n"/>
      <c r="F437" s="234">
        <f>+D437+E437</f>
        <v/>
      </c>
      <c r="G437" s="186" t="n">
        <v>46006</v>
      </c>
      <c r="H437" s="236" t="n"/>
      <c r="I437" s="118" t="n"/>
    </row>
    <row r="438">
      <c r="A438" s="236" t="inlineStr">
        <is>
          <t>Tres segundos com lacan</t>
        </is>
      </c>
      <c r="B438" s="236" t="n">
        <v>1</v>
      </c>
      <c r="C438" s="248" t="n">
        <v>100</v>
      </c>
      <c r="D438" s="233">
        <f>B438*C438</f>
        <v/>
      </c>
      <c r="E438" s="248" t="n"/>
      <c r="F438" s="234">
        <f>+D438+E438</f>
        <v/>
      </c>
      <c r="G438" s="186" t="n">
        <v>46007</v>
      </c>
      <c r="H438" s="236" t="n"/>
      <c r="I438" s="118" t="n"/>
    </row>
    <row r="439">
      <c r="A439" s="236" t="inlineStr">
        <is>
          <t>O Barco Sexual</t>
        </is>
      </c>
      <c r="B439" s="236" t="n">
        <v>1</v>
      </c>
      <c r="C439" s="248" t="n">
        <v>80</v>
      </c>
      <c r="D439" s="233">
        <f>B439*C439</f>
        <v/>
      </c>
      <c r="E439" s="248" t="n"/>
      <c r="F439" s="234">
        <f>+D439+E439</f>
        <v/>
      </c>
      <c r="G439" s="186" t="n">
        <v>46007</v>
      </c>
      <c r="H439" s="236" t="n"/>
      <c r="I439" s="118" t="n"/>
    </row>
    <row r="440">
      <c r="A440" s="236" t="inlineStr">
        <is>
          <t>Tres segundos com lacan       (Consignação EBP-NE)</t>
        </is>
      </c>
      <c r="B440" s="236" t="n">
        <v>15</v>
      </c>
      <c r="C440" s="248" t="n">
        <v>70</v>
      </c>
      <c r="D440" s="233">
        <f>B440*C440</f>
        <v/>
      </c>
      <c r="E440" s="248" t="n"/>
      <c r="F440" s="234">
        <f>+D440+E440</f>
        <v/>
      </c>
      <c r="G440" s="186" t="n">
        <v>46008</v>
      </c>
      <c r="H440" s="236" t="n"/>
      <c r="I440" s="118" t="n"/>
    </row>
    <row r="441">
      <c r="A441" s="236" t="inlineStr">
        <is>
          <t>Agente 20                               (Consignação EBP-NE)</t>
        </is>
      </c>
      <c r="B441" s="236" t="n">
        <v>5</v>
      </c>
      <c r="C441" s="248" t="n">
        <v>35</v>
      </c>
      <c r="D441" s="233">
        <f>B441*C441</f>
        <v/>
      </c>
      <c r="E441" s="248" t="n"/>
      <c r="F441" s="234">
        <f>+D441+E441</f>
        <v/>
      </c>
      <c r="G441" s="186" t="n">
        <v>46008</v>
      </c>
      <c r="H441" s="236" t="n"/>
      <c r="I441" s="118" t="n"/>
    </row>
    <row r="442">
      <c r="A442" s="236" t="inlineStr">
        <is>
          <t>Agente 21                               (Consignação EBP-NE)</t>
        </is>
      </c>
      <c r="B442" s="236" t="n">
        <v>2</v>
      </c>
      <c r="C442" s="248" t="n">
        <v>35</v>
      </c>
      <c r="D442" s="233">
        <f>B442*C442</f>
        <v/>
      </c>
      <c r="E442" s="248" t="n"/>
      <c r="F442" s="234">
        <f>+D442+E442</f>
        <v/>
      </c>
      <c r="G442" s="186" t="n">
        <v>46008</v>
      </c>
      <c r="H442" s="236" t="n"/>
      <c r="I442" s="118" t="n"/>
    </row>
    <row r="443">
      <c r="A443" s="236" t="inlineStr">
        <is>
          <t>As Paixões do Parlêtre          (Consignação EBP-NE)</t>
        </is>
      </c>
      <c r="B443" s="236" t="n">
        <v>6</v>
      </c>
      <c r="C443" s="248" t="n">
        <v>70</v>
      </c>
      <c r="D443" s="233">
        <f>B443*C443</f>
        <v/>
      </c>
      <c r="E443" s="248" t="n"/>
      <c r="F443" s="234">
        <f>+D443+E443</f>
        <v/>
      </c>
      <c r="G443" s="186" t="n">
        <v>46008</v>
      </c>
      <c r="H443" s="236" t="n"/>
      <c r="I443" s="118" t="n"/>
    </row>
    <row r="444">
      <c r="A444" s="200" t="inlineStr">
        <is>
          <t>A constitução da realidade segundo a psicanálise</t>
        </is>
      </c>
      <c r="B444" s="236" t="n">
        <v>1</v>
      </c>
      <c r="C444" s="248" t="n">
        <v>60</v>
      </c>
      <c r="D444" s="233">
        <f>B444*C444</f>
        <v/>
      </c>
      <c r="E444" s="236" t="n"/>
      <c r="F444" s="234">
        <f>+D444+E444</f>
        <v/>
      </c>
      <c r="G444" s="186" t="n">
        <v>46029</v>
      </c>
      <c r="H444" s="236" t="n"/>
      <c r="I444" s="118" t="n"/>
    </row>
    <row r="445">
      <c r="A445" s="236" t="inlineStr">
        <is>
          <t>Seninário 15</t>
        </is>
      </c>
      <c r="B445" s="236" t="n">
        <v>1</v>
      </c>
      <c r="C445" s="248" t="n">
        <v>150</v>
      </c>
      <c r="D445" s="233">
        <f>B445*C445</f>
        <v/>
      </c>
      <c r="E445" s="236" t="n"/>
      <c r="F445" s="234">
        <f>+D445+E445</f>
        <v/>
      </c>
      <c r="G445" s="186" t="n">
        <v>46030</v>
      </c>
      <c r="H445" s="236" t="n"/>
      <c r="I445" s="118" t="n"/>
    </row>
    <row r="446">
      <c r="A446" s="236" t="inlineStr">
        <is>
          <t>As Paixões do Parlêtre           (Consiganção EBP-RJ)</t>
        </is>
      </c>
      <c r="B446" s="236" t="n">
        <v>3</v>
      </c>
      <c r="C446" s="248" t="n">
        <v>70</v>
      </c>
      <c r="D446" s="233">
        <f>B446*C446</f>
        <v/>
      </c>
      <c r="E446" s="236" t="n"/>
      <c r="F446" s="234">
        <f>+D446+E446</f>
        <v/>
      </c>
      <c r="G446" s="186" t="n">
        <v>45960</v>
      </c>
      <c r="H446" s="236" t="n"/>
      <c r="I446" s="118" t="n"/>
    </row>
    <row r="447">
      <c r="A447" s="236" t="inlineStr">
        <is>
          <t>Agente 20                               (Consignação EBP-RJ)</t>
        </is>
      </c>
      <c r="B447" s="236" t="n">
        <v>1</v>
      </c>
      <c r="C447" s="248" t="n">
        <v>49</v>
      </c>
      <c r="D447" s="248">
        <f>B447*C447</f>
        <v/>
      </c>
      <c r="E447" s="236" t="n"/>
      <c r="F447" s="248">
        <f>+D447+E447</f>
        <v/>
      </c>
      <c r="G447" s="186" t="n">
        <v>45960</v>
      </c>
      <c r="H447" s="236" t="n"/>
      <c r="I447" s="118" t="n"/>
    </row>
    <row r="448">
      <c r="E448" s="199" t="n"/>
      <c r="I448" s="152" t="n"/>
    </row>
    <row r="449">
      <c r="I449" s="152" t="n"/>
    </row>
    <row r="450">
      <c r="I450" s="152" t="n"/>
    </row>
    <row r="451">
      <c r="I451" s="152" t="n"/>
    </row>
    <row r="452">
      <c r="I452" s="152" t="n"/>
    </row>
    <row r="453">
      <c r="I453" s="152" t="n"/>
    </row>
    <row r="454">
      <c r="I454" s="152" t="n"/>
    </row>
    <row r="455">
      <c r="I455" s="152" t="n"/>
    </row>
    <row r="456">
      <c r="I456" s="152" t="n"/>
    </row>
    <row r="457">
      <c r="I457" s="152" t="n"/>
    </row>
    <row r="458">
      <c r="I458" s="152" t="n"/>
    </row>
    <row r="459">
      <c r="I459" s="152" t="n"/>
    </row>
    <row r="460">
      <c r="I460" s="152" t="n"/>
    </row>
    <row r="461">
      <c r="I461" s="152" t="n"/>
    </row>
    <row r="462">
      <c r="I462" s="152" t="n"/>
    </row>
    <row r="463">
      <c r="I463" s="152" t="n"/>
    </row>
    <row r="464">
      <c r="I464" s="152" t="n"/>
    </row>
    <row r="465">
      <c r="I465" s="152" t="n"/>
    </row>
    <row r="466">
      <c r="I466" s="152" t="n"/>
    </row>
    <row r="467">
      <c r="I467" s="152" t="n"/>
    </row>
    <row r="468">
      <c r="I468" s="152" t="n"/>
    </row>
    <row r="469">
      <c r="I469" s="152" t="n"/>
    </row>
    <row r="470">
      <c r="I470" s="152" t="n"/>
    </row>
    <row r="471">
      <c r="I471" s="152" t="n"/>
    </row>
    <row r="472">
      <c r="I472" s="152" t="n"/>
    </row>
    <row r="473">
      <c r="I473" s="152" t="n"/>
    </row>
    <row r="474">
      <c r="I474" s="152" t="n"/>
    </row>
    <row r="475">
      <c r="I475" s="152" t="n"/>
    </row>
    <row r="476">
      <c r="I476" s="152" t="n"/>
    </row>
    <row r="477">
      <c r="I477" s="152" t="n"/>
    </row>
    <row r="478">
      <c r="I478" s="152" t="n"/>
    </row>
    <row r="479">
      <c r="I479" s="152" t="n"/>
    </row>
    <row r="480">
      <c r="I480" s="152" t="n"/>
    </row>
    <row r="481">
      <c r="I481" s="152" t="n"/>
    </row>
    <row r="482">
      <c r="I482" s="152" t="n"/>
    </row>
    <row r="483">
      <c r="I483" s="152" t="n"/>
    </row>
    <row r="484">
      <c r="I484" s="152" t="n"/>
    </row>
    <row r="485">
      <c r="I485" s="152" t="n"/>
    </row>
    <row r="486">
      <c r="I486" s="152" t="n"/>
    </row>
    <row r="487">
      <c r="I487" s="152" t="n"/>
    </row>
    <row r="488">
      <c r="I488" s="152" t="n"/>
    </row>
    <row r="489">
      <c r="I489" s="152" t="n"/>
    </row>
    <row r="490">
      <c r="I490" s="152" t="n"/>
    </row>
    <row r="491">
      <c r="I491" s="152" t="n"/>
    </row>
    <row r="492">
      <c r="I492" s="152" t="n"/>
    </row>
    <row r="493">
      <c r="I493" s="152" t="n"/>
    </row>
    <row r="494">
      <c r="I494" s="152" t="n"/>
    </row>
    <row r="495">
      <c r="I495" s="152" t="n"/>
    </row>
    <row r="496">
      <c r="I496" s="152" t="n"/>
    </row>
    <row r="497">
      <c r="I497" s="152" t="n"/>
    </row>
    <row r="498">
      <c r="I498" s="152" t="n"/>
    </row>
    <row r="499">
      <c r="I499" s="152" t="n"/>
    </row>
    <row r="500">
      <c r="I500" s="152" t="n"/>
    </row>
    <row r="501">
      <c r="I501" s="152" t="n"/>
    </row>
    <row r="502">
      <c r="I502" s="152" t="n"/>
    </row>
    <row r="503">
      <c r="I503" s="152" t="n"/>
    </row>
    <row r="504">
      <c r="I504" s="152" t="n"/>
    </row>
    <row r="505">
      <c r="I505" s="152" t="n"/>
    </row>
    <row r="506">
      <c r="I506" s="152" t="n"/>
    </row>
    <row r="507">
      <c r="I507" s="152" t="n"/>
    </row>
    <row r="508">
      <c r="I508" s="152" t="n"/>
    </row>
    <row r="509">
      <c r="I509" s="152" t="n"/>
    </row>
    <row r="510">
      <c r="I510" s="152" t="n"/>
    </row>
    <row r="511">
      <c r="I511" s="152" t="n"/>
    </row>
    <row r="512">
      <c r="I512" s="152" t="n"/>
    </row>
    <row r="513">
      <c r="I513" s="152" t="n"/>
    </row>
    <row r="514">
      <c r="I514" s="152" t="n"/>
    </row>
    <row r="515">
      <c r="I515" s="152" t="n"/>
    </row>
    <row r="516">
      <c r="I516" s="152" t="n"/>
    </row>
    <row r="517">
      <c r="I517" s="152" t="n"/>
    </row>
    <row r="518">
      <c r="I518" s="152" t="n"/>
    </row>
    <row r="519">
      <c r="I519" s="152" t="n"/>
    </row>
    <row r="520">
      <c r="I520" s="152" t="n"/>
    </row>
    <row r="521">
      <c r="I521" s="152" t="n"/>
    </row>
    <row r="522">
      <c r="I522" s="152" t="n"/>
    </row>
    <row r="523">
      <c r="I523" s="152" t="n"/>
    </row>
    <row r="524">
      <c r="I524" s="152" t="n"/>
    </row>
    <row r="525">
      <c r="I525" s="152" t="n"/>
    </row>
    <row r="526">
      <c r="I526" s="152" t="n"/>
    </row>
    <row r="527">
      <c r="I527" s="152" t="n"/>
    </row>
    <row r="528">
      <c r="I528" s="152" t="n"/>
    </row>
    <row r="529">
      <c r="I529" s="152" t="n"/>
    </row>
    <row r="530">
      <c r="I530" s="152" t="n"/>
    </row>
    <row r="531">
      <c r="I531" s="152" t="n"/>
    </row>
    <row r="532">
      <c r="I532" s="152" t="n"/>
    </row>
    <row r="533">
      <c r="I533" s="152" t="n"/>
    </row>
    <row r="534">
      <c r="I534" s="152" t="n"/>
    </row>
    <row r="535">
      <c r="I535" s="152" t="n"/>
    </row>
    <row r="536">
      <c r="I536" s="152" t="n"/>
    </row>
    <row r="537">
      <c r="I537" s="152" t="n"/>
    </row>
    <row r="538">
      <c r="I538" s="152" t="n"/>
    </row>
    <row r="539">
      <c r="I539" s="152" t="n"/>
    </row>
    <row r="540">
      <c r="I540" s="152" t="n"/>
    </row>
    <row r="541">
      <c r="I541" s="152" t="n"/>
    </row>
    <row r="542">
      <c r="I542" s="152" t="n"/>
    </row>
    <row r="543">
      <c r="I543" s="152" t="n"/>
    </row>
    <row r="544">
      <c r="I544" s="152" t="n"/>
    </row>
    <row r="545">
      <c r="I545" s="152" t="n"/>
    </row>
    <row r="546">
      <c r="I546" s="152" t="n"/>
    </row>
    <row r="547">
      <c r="I547" s="152" t="n"/>
    </row>
    <row r="548">
      <c r="I548" s="152" t="n"/>
    </row>
    <row r="549">
      <c r="I549" s="152" t="n"/>
    </row>
    <row r="550">
      <c r="I550" s="152" t="n"/>
    </row>
    <row r="551">
      <c r="I551" s="152" t="n"/>
    </row>
    <row r="552">
      <c r="I552" s="152" t="n"/>
    </row>
    <row r="553">
      <c r="I553" s="152" t="n"/>
    </row>
    <row r="554">
      <c r="I554" s="152" t="n"/>
    </row>
    <row r="555">
      <c r="I555" s="152" t="n"/>
    </row>
    <row r="556">
      <c r="I556" s="152" t="n"/>
    </row>
    <row r="557">
      <c r="I557" s="152" t="n"/>
    </row>
    <row r="558">
      <c r="I558" s="152" t="n"/>
    </row>
    <row r="559">
      <c r="I559" s="152" t="n"/>
    </row>
    <row r="560">
      <c r="I560" s="152" t="n"/>
    </row>
    <row r="561">
      <c r="I561" s="152" t="n"/>
    </row>
    <row r="562">
      <c r="I562" s="152" t="n"/>
    </row>
    <row r="563">
      <c r="I563" s="152" t="n"/>
    </row>
    <row r="564">
      <c r="I564" s="152" t="n"/>
    </row>
    <row r="565">
      <c r="I565" s="152" t="n"/>
    </row>
    <row r="566">
      <c r="I566" s="152" t="n"/>
    </row>
    <row r="567">
      <c r="I567" s="152" t="n"/>
    </row>
    <row r="568">
      <c r="I568" s="152" t="n"/>
    </row>
    <row r="569">
      <c r="I569" s="152" t="n"/>
    </row>
    <row r="570">
      <c r="I570" s="152" t="n"/>
    </row>
    <row r="571">
      <c r="I571" s="152" t="n"/>
    </row>
    <row r="572">
      <c r="I572" s="152" t="n"/>
    </row>
    <row r="573">
      <c r="I573" s="152" t="n"/>
    </row>
    <row r="574">
      <c r="I574" s="152" t="n"/>
    </row>
    <row r="575">
      <c r="I575" s="152" t="n"/>
    </row>
    <row r="576">
      <c r="I576" s="152" t="n"/>
    </row>
    <row r="577">
      <c r="I577" s="152" t="n"/>
    </row>
    <row r="578">
      <c r="I578" s="152" t="n"/>
    </row>
    <row r="579">
      <c r="I579" s="152" t="n"/>
    </row>
    <row r="580">
      <c r="I580" s="152" t="n"/>
    </row>
    <row r="581">
      <c r="I581" s="152" t="n"/>
    </row>
    <row r="582">
      <c r="I582" s="152" t="n"/>
    </row>
    <row r="583">
      <c r="I583" s="152" t="n"/>
    </row>
    <row r="584">
      <c r="I584" s="152" t="n"/>
    </row>
    <row r="585">
      <c r="I585" s="152" t="n"/>
    </row>
    <row r="586">
      <c r="I586" s="152" t="n"/>
    </row>
    <row r="587">
      <c r="I587" s="152" t="n"/>
    </row>
    <row r="588">
      <c r="I588" s="152" t="n"/>
    </row>
    <row r="589">
      <c r="I589" s="152" t="n"/>
    </row>
    <row r="590">
      <c r="I590" s="152" t="n"/>
    </row>
    <row r="591">
      <c r="I591" s="152" t="n"/>
    </row>
    <row r="592">
      <c r="I592" s="152" t="n"/>
    </row>
    <row r="593">
      <c r="I593" s="152" t="n"/>
    </row>
    <row r="594">
      <c r="I594" s="152" t="n"/>
    </row>
    <row r="595">
      <c r="I595" s="152" t="n"/>
    </row>
    <row r="596">
      <c r="I596" s="152" t="n"/>
    </row>
    <row r="597">
      <c r="I597" s="152" t="n"/>
    </row>
    <row r="598">
      <c r="I598" s="152" t="n"/>
    </row>
    <row r="599">
      <c r="I599" s="152" t="n"/>
    </row>
    <row r="600">
      <c r="I600" s="152" t="n"/>
    </row>
    <row r="601">
      <c r="I601" s="152" t="n"/>
    </row>
    <row r="602">
      <c r="I602" s="152" t="n"/>
    </row>
    <row r="603">
      <c r="I603" s="152" t="n"/>
    </row>
    <row r="604">
      <c r="I604" s="152" t="n"/>
    </row>
    <row r="605">
      <c r="I605" s="152" t="n"/>
    </row>
    <row r="606">
      <c r="I606" s="152" t="n"/>
    </row>
    <row r="607">
      <c r="I607" s="152" t="n"/>
    </row>
    <row r="608">
      <c r="I608" s="152" t="n"/>
    </row>
    <row r="609">
      <c r="I609" s="152" t="n"/>
    </row>
    <row r="610">
      <c r="I610" s="152" t="n"/>
    </row>
    <row r="611">
      <c r="I611" s="152" t="n"/>
    </row>
    <row r="612">
      <c r="I612" s="152" t="n"/>
    </row>
    <row r="613">
      <c r="I613" s="152" t="n"/>
    </row>
    <row r="614">
      <c r="I614" s="152" t="n"/>
    </row>
    <row r="615">
      <c r="I615" s="152" t="n"/>
    </row>
    <row r="616">
      <c r="I616" s="152" t="n"/>
    </row>
    <row r="617">
      <c r="I617" s="152" t="n"/>
    </row>
    <row r="618">
      <c r="I618" s="152" t="n"/>
    </row>
    <row r="619">
      <c r="I619" s="152" t="n"/>
    </row>
    <row r="620">
      <c r="I620" s="152" t="n"/>
    </row>
    <row r="621">
      <c r="I621" s="152" t="n"/>
    </row>
    <row r="622">
      <c r="I622" s="152" t="n"/>
    </row>
    <row r="623">
      <c r="I623" s="152" t="n"/>
    </row>
    <row r="624">
      <c r="I624" s="152" t="n"/>
    </row>
    <row r="625">
      <c r="I625" s="152" t="n"/>
    </row>
    <row r="626">
      <c r="I626" s="152" t="n"/>
    </row>
    <row r="627">
      <c r="I627" s="152" t="n"/>
    </row>
    <row r="628">
      <c r="I628" s="152" t="n"/>
    </row>
    <row r="629">
      <c r="I629" s="152" t="n"/>
    </row>
    <row r="630">
      <c r="I630" s="152" t="n"/>
    </row>
    <row r="631">
      <c r="I631" s="152" t="n"/>
    </row>
    <row r="632">
      <c r="I632" s="152" t="n"/>
    </row>
    <row r="633">
      <c r="I633" s="152" t="n"/>
    </row>
    <row r="634">
      <c r="I634" s="152" t="n"/>
    </row>
    <row r="635">
      <c r="I635" s="152" t="n"/>
    </row>
    <row r="636">
      <c r="I636" s="152" t="n"/>
    </row>
    <row r="637">
      <c r="I637" s="152" t="n"/>
    </row>
    <row r="638">
      <c r="I638" s="152" t="n"/>
    </row>
    <row r="639">
      <c r="I639" s="152" t="n"/>
    </row>
    <row r="640">
      <c r="I640" s="152" t="n"/>
    </row>
    <row r="641">
      <c r="I641" s="152" t="n"/>
    </row>
    <row r="642">
      <c r="I642" s="152" t="n"/>
    </row>
    <row r="643">
      <c r="I643" s="152" t="n"/>
    </row>
    <row r="644">
      <c r="I644" s="152" t="n"/>
    </row>
    <row r="645">
      <c r="I645" s="152" t="n"/>
    </row>
    <row r="646">
      <c r="I646" s="152" t="n"/>
    </row>
    <row r="647">
      <c r="I647" s="152" t="n"/>
    </row>
    <row r="648">
      <c r="I648" s="152" t="n"/>
    </row>
    <row r="649">
      <c r="I649" s="152" t="n"/>
    </row>
    <row r="650">
      <c r="I650" s="152" t="n"/>
    </row>
    <row r="651">
      <c r="I651" s="152" t="n"/>
    </row>
    <row r="652">
      <c r="I652" s="152" t="n"/>
    </row>
    <row r="653">
      <c r="I653" s="152" t="n"/>
    </row>
    <row r="654">
      <c r="I654" s="152" t="n"/>
    </row>
    <row r="655">
      <c r="I655" s="152" t="n"/>
    </row>
    <row r="656">
      <c r="I656" s="152" t="n"/>
    </row>
    <row r="657">
      <c r="I657" s="152" t="n"/>
    </row>
    <row r="658">
      <c r="I658" s="152" t="n"/>
    </row>
    <row r="659">
      <c r="I659" s="152" t="n"/>
    </row>
    <row r="660">
      <c r="I660" s="152" t="n"/>
    </row>
    <row r="661">
      <c r="I661" s="152" t="n"/>
    </row>
    <row r="662">
      <c r="I662" s="152" t="n"/>
    </row>
    <row r="663">
      <c r="I663" s="152" t="n"/>
    </row>
    <row r="664">
      <c r="I664" s="152" t="n"/>
    </row>
    <row r="665">
      <c r="I665" s="152" t="n"/>
    </row>
    <row r="666">
      <c r="I666" s="152" t="n"/>
    </row>
    <row r="667">
      <c r="I667" s="152" t="n"/>
    </row>
    <row r="668">
      <c r="I668" s="152" t="n"/>
    </row>
    <row r="669">
      <c r="I669" s="152" t="n"/>
    </row>
    <row r="670">
      <c r="I670" s="152" t="n"/>
    </row>
    <row r="671">
      <c r="I671" s="152" t="n"/>
    </row>
    <row r="672">
      <c r="I672" s="152" t="n"/>
    </row>
    <row r="673">
      <c r="I673" s="152" t="n"/>
    </row>
    <row r="674">
      <c r="I674" s="152" t="n"/>
    </row>
    <row r="675">
      <c r="I675" s="152" t="n"/>
    </row>
    <row r="676">
      <c r="I676" s="152" t="n"/>
    </row>
    <row r="677">
      <c r="I677" s="152" t="n"/>
    </row>
    <row r="678">
      <c r="I678" s="152" t="n"/>
    </row>
    <row r="679">
      <c r="I679" s="152" t="n"/>
    </row>
    <row r="680">
      <c r="I680" s="152" t="n"/>
    </row>
    <row r="681">
      <c r="I681" s="152" t="n"/>
    </row>
    <row r="682">
      <c r="I682" s="152" t="n"/>
    </row>
    <row r="683">
      <c r="I683" s="152" t="n"/>
    </row>
    <row r="684">
      <c r="I684" s="152" t="n"/>
    </row>
    <row r="685">
      <c r="I685" s="152" t="n"/>
    </row>
    <row r="686">
      <c r="I686" s="152" t="n"/>
    </row>
    <row r="687">
      <c r="I687" s="152" t="n"/>
    </row>
    <row r="688">
      <c r="I688" s="152" t="n"/>
    </row>
    <row r="689">
      <c r="I689" s="152" t="n"/>
    </row>
    <row r="690">
      <c r="I690" s="152" t="n"/>
    </row>
    <row r="691">
      <c r="I691" s="152" t="n"/>
    </row>
    <row r="692">
      <c r="I692" s="152" t="n"/>
    </row>
    <row r="693">
      <c r="I693" s="152" t="n"/>
    </row>
    <row r="694">
      <c r="I694" s="152" t="n"/>
    </row>
    <row r="695">
      <c r="I695" s="152" t="n"/>
    </row>
    <row r="696">
      <c r="I696" s="152" t="n"/>
    </row>
    <row r="697">
      <c r="I697" s="152" t="n"/>
    </row>
    <row r="698">
      <c r="I698" s="152" t="n"/>
    </row>
    <row r="699">
      <c r="I699" s="152" t="n"/>
    </row>
    <row r="700">
      <c r="I700" s="152" t="n"/>
    </row>
    <row r="701">
      <c r="I701" s="152" t="n"/>
    </row>
    <row r="702">
      <c r="I702" s="152" t="n"/>
    </row>
    <row r="703">
      <c r="I703" s="152" t="n"/>
    </row>
    <row r="704">
      <c r="I704" s="152" t="n"/>
    </row>
    <row r="705">
      <c r="I705" s="152" t="n"/>
    </row>
    <row r="706">
      <c r="I706" s="152" t="n"/>
    </row>
    <row r="707">
      <c r="I707" s="152" t="n"/>
    </row>
    <row r="708">
      <c r="I708" s="152" t="n"/>
    </row>
    <row r="709">
      <c r="I709" s="152" t="n"/>
    </row>
    <row r="710">
      <c r="I710" s="152" t="n"/>
    </row>
    <row r="711">
      <c r="I711" s="152" t="n"/>
    </row>
    <row r="712">
      <c r="I712" s="152" t="n"/>
    </row>
    <row r="713">
      <c r="I713" s="152" t="n"/>
    </row>
    <row r="714">
      <c r="I714" s="152" t="n"/>
    </row>
    <row r="715">
      <c r="I715" s="152" t="n"/>
    </row>
    <row r="716">
      <c r="I716" s="152" t="n"/>
    </row>
    <row r="717">
      <c r="I717" s="152" t="n"/>
    </row>
    <row r="718">
      <c r="I718" s="152" t="n"/>
    </row>
    <row r="719">
      <c r="I719" s="152" t="n"/>
    </row>
    <row r="720">
      <c r="I720" s="152" t="n"/>
    </row>
    <row r="721">
      <c r="I721" s="152" t="n"/>
    </row>
    <row r="722">
      <c r="I722" s="152" t="n"/>
    </row>
    <row r="723">
      <c r="I723" s="152" t="n"/>
    </row>
    <row r="724">
      <c r="I724" s="152" t="n"/>
    </row>
    <row r="725">
      <c r="I725" s="152" t="n"/>
    </row>
    <row r="726">
      <c r="I726" s="152" t="n"/>
    </row>
    <row r="727">
      <c r="I727" s="152" t="n"/>
    </row>
    <row r="728">
      <c r="I728" s="152" t="n"/>
    </row>
    <row r="729">
      <c r="I729" s="152" t="n"/>
    </row>
    <row r="730">
      <c r="I730" s="152" t="n"/>
    </row>
    <row r="731">
      <c r="I731" s="152" t="n"/>
    </row>
    <row r="732">
      <c r="I732" s="152" t="n"/>
    </row>
    <row r="733">
      <c r="I733" s="152" t="n"/>
    </row>
    <row r="734">
      <c r="I734" s="152" t="n"/>
    </row>
    <row r="735">
      <c r="I735" s="152" t="n"/>
    </row>
    <row r="736">
      <c r="I736" s="152" t="n"/>
    </row>
    <row r="737">
      <c r="I737" s="152" t="n"/>
    </row>
    <row r="738">
      <c r="I738" s="152" t="n"/>
    </row>
    <row r="739">
      <c r="I739" s="152" t="n"/>
    </row>
    <row r="740">
      <c r="I740" s="152" t="n"/>
    </row>
    <row r="741">
      <c r="I741" s="152" t="n"/>
    </row>
    <row r="742">
      <c r="I742" s="152" t="n"/>
    </row>
    <row r="743">
      <c r="I743" s="152" t="n"/>
    </row>
    <row r="744">
      <c r="I744" s="152" t="n"/>
    </row>
    <row r="745">
      <c r="I745" s="152" t="n"/>
    </row>
    <row r="746">
      <c r="I746" s="152" t="n"/>
    </row>
    <row r="747">
      <c r="I747" s="152" t="n"/>
    </row>
    <row r="748">
      <c r="I748" s="152" t="n"/>
    </row>
    <row r="749">
      <c r="I749" s="152" t="n"/>
    </row>
    <row r="750">
      <c r="I750" s="152" t="n"/>
    </row>
    <row r="751">
      <c r="I751" s="152" t="n"/>
    </row>
    <row r="752">
      <c r="I752" s="152" t="n"/>
    </row>
    <row r="753">
      <c r="I753" s="152" t="n"/>
    </row>
    <row r="754">
      <c r="I754" s="152" t="n"/>
    </row>
    <row r="755">
      <c r="I755" s="152" t="n"/>
    </row>
    <row r="756">
      <c r="I756" s="152" t="n"/>
    </row>
    <row r="757">
      <c r="I757" s="152" t="n"/>
    </row>
    <row r="758">
      <c r="I758" s="152" t="n"/>
    </row>
    <row r="759">
      <c r="I759" s="152" t="n"/>
    </row>
    <row r="760">
      <c r="I760" s="152" t="n"/>
    </row>
    <row r="761">
      <c r="I761" s="152" t="n"/>
    </row>
    <row r="762">
      <c r="I762" s="152" t="n"/>
    </row>
    <row r="763">
      <c r="I763" s="152" t="n"/>
    </row>
    <row r="764">
      <c r="I764" s="152" t="n"/>
    </row>
    <row r="765">
      <c r="I765" s="152" t="n"/>
    </row>
    <row r="766">
      <c r="I766" s="152" t="n"/>
    </row>
    <row r="767">
      <c r="I767" s="152" t="n"/>
    </row>
    <row r="768">
      <c r="I768" s="152" t="n"/>
    </row>
    <row r="769">
      <c r="I769" s="152" t="n"/>
    </row>
    <row r="770">
      <c r="I770" s="152" t="n"/>
    </row>
    <row r="771">
      <c r="I771" s="152" t="n"/>
    </row>
    <row r="772">
      <c r="I772" s="152" t="n"/>
    </row>
    <row r="773">
      <c r="I773" s="152" t="n"/>
    </row>
    <row r="774">
      <c r="I774" s="152" t="n"/>
    </row>
    <row r="775">
      <c r="I775" s="152" t="n"/>
    </row>
    <row r="776">
      <c r="I776" s="152" t="n"/>
    </row>
    <row r="777">
      <c r="I777" s="152" t="n"/>
    </row>
    <row r="778">
      <c r="I778" s="152" t="n"/>
    </row>
    <row r="779">
      <c r="I779" s="152" t="n"/>
    </row>
    <row r="780">
      <c r="I780" s="152" t="n"/>
    </row>
    <row r="781">
      <c r="I781" s="152" t="n"/>
    </row>
    <row r="782">
      <c r="I782" s="152" t="n"/>
    </row>
    <row r="783">
      <c r="I783" s="152" t="n"/>
    </row>
    <row r="784">
      <c r="I784" s="152" t="n"/>
    </row>
    <row r="785">
      <c r="I785" s="152" t="n"/>
    </row>
    <row r="786">
      <c r="I786" s="152" t="n"/>
    </row>
    <row r="787">
      <c r="I787" s="152" t="n"/>
    </row>
    <row r="788">
      <c r="I788" s="152" t="n"/>
    </row>
    <row r="789">
      <c r="I789" s="152" t="n"/>
    </row>
    <row r="790">
      <c r="I790" s="152" t="n"/>
    </row>
    <row r="791">
      <c r="I791" s="152" t="n"/>
    </row>
    <row r="792">
      <c r="I792" s="152" t="n"/>
    </row>
    <row r="793">
      <c r="I793" s="152" t="n"/>
    </row>
    <row r="794">
      <c r="I794" s="152" t="n"/>
    </row>
    <row r="795">
      <c r="I795" s="152" t="n"/>
    </row>
    <row r="796">
      <c r="I796" s="152" t="n"/>
    </row>
    <row r="797">
      <c r="I797" s="152" t="n"/>
    </row>
    <row r="798">
      <c r="I798" s="152" t="n"/>
    </row>
    <row r="799">
      <c r="I799" s="152" t="n"/>
    </row>
    <row r="800">
      <c r="I800" s="152" t="n"/>
    </row>
    <row r="801">
      <c r="I801" s="152" t="n"/>
    </row>
    <row r="802">
      <c r="I802" s="152" t="n"/>
    </row>
    <row r="803">
      <c r="I803" s="152" t="n"/>
    </row>
    <row r="804">
      <c r="I804" s="152" t="n"/>
    </row>
    <row r="805">
      <c r="I805" s="152" t="n"/>
    </row>
    <row r="806">
      <c r="I806" s="152" t="n"/>
    </row>
    <row r="807">
      <c r="I807" s="152" t="n"/>
    </row>
    <row r="808">
      <c r="I808" s="152" t="n"/>
    </row>
    <row r="809">
      <c r="I809" s="152" t="n"/>
    </row>
    <row r="810">
      <c r="I810" s="152" t="n"/>
    </row>
    <row r="811">
      <c r="I811" s="152" t="n"/>
    </row>
    <row r="812">
      <c r="I812" s="152" t="n"/>
    </row>
    <row r="813">
      <c r="I813" s="152" t="n"/>
    </row>
    <row r="814">
      <c r="I814" s="152" t="n"/>
    </row>
    <row r="815">
      <c r="I815" s="152" t="n"/>
    </row>
    <row r="816">
      <c r="I816" s="152" t="n"/>
    </row>
    <row r="817">
      <c r="I817" s="152" t="n"/>
    </row>
    <row r="818">
      <c r="I818" s="152" t="n"/>
    </row>
    <row r="819">
      <c r="I819" s="152" t="n"/>
    </row>
    <row r="820">
      <c r="I820" s="152" t="n"/>
    </row>
    <row r="821">
      <c r="I821" s="152" t="n"/>
    </row>
    <row r="822">
      <c r="I822" s="152" t="n"/>
    </row>
    <row r="823">
      <c r="I823" s="152" t="n"/>
    </row>
    <row r="824">
      <c r="I824" s="152" t="n"/>
    </row>
    <row r="825">
      <c r="I825" s="152" t="n"/>
    </row>
    <row r="826">
      <c r="I826" s="152" t="n"/>
    </row>
    <row r="827">
      <c r="I827" s="152" t="n"/>
    </row>
    <row r="828">
      <c r="I828" s="152" t="n"/>
    </row>
    <row r="829">
      <c r="I829" s="152" t="n"/>
    </row>
    <row r="830">
      <c r="I830" s="152" t="n"/>
    </row>
    <row r="831">
      <c r="I831" s="152" t="n"/>
    </row>
    <row r="832">
      <c r="I832" s="152" t="n"/>
    </row>
    <row r="833">
      <c r="I833" s="152" t="n"/>
    </row>
    <row r="834">
      <c r="I834" s="152" t="n"/>
    </row>
    <row r="835">
      <c r="I835" s="152" t="n"/>
    </row>
    <row r="836">
      <c r="I836" s="152" t="n"/>
    </row>
    <row r="837">
      <c r="I837" s="152" t="n"/>
    </row>
    <row r="838">
      <c r="I838" s="152" t="n"/>
    </row>
    <row r="839">
      <c r="I839" s="152" t="n"/>
    </row>
    <row r="840">
      <c r="I840" s="152" t="n"/>
    </row>
    <row r="841">
      <c r="I841" s="152" t="n"/>
    </row>
    <row r="842">
      <c r="I842" s="152" t="n"/>
    </row>
    <row r="843">
      <c r="I843" s="152" t="n"/>
    </row>
    <row r="844">
      <c r="I844" s="152" t="n"/>
    </row>
    <row r="845">
      <c r="I845" s="152" t="n"/>
    </row>
    <row r="846">
      <c r="I846" s="152" t="n"/>
    </row>
    <row r="847">
      <c r="I847" s="152" t="n"/>
    </row>
    <row r="848">
      <c r="I848" s="152" t="n"/>
    </row>
    <row r="849">
      <c r="I849" s="152" t="n"/>
    </row>
    <row r="850">
      <c r="I850" s="152" t="n"/>
    </row>
    <row r="851">
      <c r="I851" s="152" t="n"/>
    </row>
    <row r="852">
      <c r="I852" s="152" t="n"/>
    </row>
    <row r="853">
      <c r="I853" s="152" t="n"/>
    </row>
    <row r="854">
      <c r="I854" s="152" t="n"/>
    </row>
    <row r="855">
      <c r="I855" s="152" t="n"/>
    </row>
    <row r="856">
      <c r="I856" s="152" t="n"/>
    </row>
    <row r="857">
      <c r="I857" s="152" t="n"/>
    </row>
    <row r="858">
      <c r="I858" s="152" t="n"/>
    </row>
    <row r="859">
      <c r="I859" s="152" t="n"/>
    </row>
    <row r="860">
      <c r="I860" s="152" t="n"/>
    </row>
    <row r="861">
      <c r="I861" s="152" t="n"/>
    </row>
    <row r="862">
      <c r="I862" s="152" t="n"/>
    </row>
    <row r="863">
      <c r="I863" s="152" t="n"/>
    </row>
    <row r="864">
      <c r="I864" s="152" t="n"/>
    </row>
    <row r="865">
      <c r="I865" s="152" t="n"/>
    </row>
    <row r="866">
      <c r="I866" s="152" t="n"/>
    </row>
    <row r="867">
      <c r="I867" s="152" t="n"/>
    </row>
    <row r="868">
      <c r="I868" s="152" t="n"/>
    </row>
    <row r="869">
      <c r="I869" s="152" t="n"/>
    </row>
    <row r="870">
      <c r="I870" s="152" t="n"/>
    </row>
    <row r="871">
      <c r="I871" s="152" t="n"/>
    </row>
    <row r="872">
      <c r="I872" s="152" t="n"/>
    </row>
    <row r="873">
      <c r="I873" s="152" t="n"/>
    </row>
    <row r="874">
      <c r="I874" s="152" t="n"/>
    </row>
    <row r="875">
      <c r="I875" s="152" t="n"/>
    </row>
    <row r="876">
      <c r="I876" s="152" t="n"/>
    </row>
    <row r="877">
      <c r="I877" s="152" t="n"/>
    </row>
    <row r="878">
      <c r="I878" s="152" t="n"/>
    </row>
    <row r="879">
      <c r="I879" s="152" t="n"/>
    </row>
    <row r="880">
      <c r="I880" s="152" t="n"/>
    </row>
    <row r="881">
      <c r="I881" s="152" t="n"/>
    </row>
    <row r="882">
      <c r="I882" s="152" t="n"/>
    </row>
    <row r="883">
      <c r="I883" s="152" t="n"/>
    </row>
    <row r="884">
      <c r="I884" s="152" t="n"/>
    </row>
    <row r="885">
      <c r="I885" s="152" t="n"/>
    </row>
    <row r="886">
      <c r="I886" s="152" t="n"/>
    </row>
    <row r="887">
      <c r="I887" s="152" t="n"/>
    </row>
    <row r="888">
      <c r="I888" s="152" t="n"/>
    </row>
    <row r="889">
      <c r="I889" s="152" t="n"/>
    </row>
    <row r="890">
      <c r="I890" s="152" t="n"/>
    </row>
    <row r="891">
      <c r="I891" s="152" t="n"/>
    </row>
    <row r="892">
      <c r="I892" s="152" t="n"/>
    </row>
    <row r="893">
      <c r="I893" s="152" t="n"/>
    </row>
    <row r="894">
      <c r="I894" s="152" t="n"/>
    </row>
    <row r="895">
      <c r="I895" s="152" t="n"/>
    </row>
    <row r="896">
      <c r="I896" s="152" t="n"/>
    </row>
    <row r="897">
      <c r="I897" s="152" t="n"/>
    </row>
    <row r="898">
      <c r="I898" s="152" t="n"/>
    </row>
    <row r="899">
      <c r="I899" s="152" t="n"/>
    </row>
    <row r="900">
      <c r="I900" s="152" t="n"/>
    </row>
    <row r="901">
      <c r="I901" s="152" t="n"/>
    </row>
    <row r="902">
      <c r="I902" s="152" t="n"/>
    </row>
    <row r="903">
      <c r="I903" s="152" t="n"/>
    </row>
    <row r="904">
      <c r="I904" s="152" t="n"/>
    </row>
    <row r="905">
      <c r="I905" s="152" t="n"/>
    </row>
    <row r="906">
      <c r="I906" s="152" t="n"/>
    </row>
    <row r="907">
      <c r="I907" s="152" t="n"/>
    </row>
    <row r="908">
      <c r="I908" s="152" t="n"/>
    </row>
    <row r="909">
      <c r="I909" s="152" t="n"/>
    </row>
    <row r="910">
      <c r="I910" s="152" t="n"/>
    </row>
    <row r="911">
      <c r="I911" s="152" t="n"/>
    </row>
    <row r="912">
      <c r="I912" s="152" t="n"/>
    </row>
    <row r="913">
      <c r="I913" s="152" t="n"/>
    </row>
    <row r="914">
      <c r="I914" s="152" t="n"/>
    </row>
    <row r="915">
      <c r="I915" s="152" t="n"/>
    </row>
    <row r="916">
      <c r="I916" s="152" t="n"/>
    </row>
    <row r="917">
      <c r="I917" s="152" t="n"/>
    </row>
    <row r="918">
      <c r="I918" s="152" t="n"/>
    </row>
    <row r="919">
      <c r="I919" s="152" t="n"/>
    </row>
    <row r="920">
      <c r="I920" s="152" t="n"/>
    </row>
    <row r="921">
      <c r="I921" s="152" t="n"/>
    </row>
    <row r="922">
      <c r="I922" s="152" t="n"/>
    </row>
    <row r="923">
      <c r="I923" s="152" t="n"/>
    </row>
    <row r="924">
      <c r="I924" s="152" t="n"/>
    </row>
    <row r="925">
      <c r="I925" s="152" t="n"/>
    </row>
    <row r="926">
      <c r="I926" s="152" t="n"/>
    </row>
    <row r="927">
      <c r="I927" s="152" t="n"/>
    </row>
    <row r="928">
      <c r="I928" s="152" t="n"/>
    </row>
    <row r="929">
      <c r="I929" s="152" t="n"/>
    </row>
    <row r="930">
      <c r="I930" s="152" t="n"/>
    </row>
    <row r="931">
      <c r="I931" s="152" t="n"/>
    </row>
    <row r="932">
      <c r="I932" s="152" t="n"/>
    </row>
    <row r="933">
      <c r="I933" s="152" t="n"/>
    </row>
    <row r="934">
      <c r="I934" s="152" t="n"/>
    </row>
    <row r="935">
      <c r="I935" s="152" t="n"/>
    </row>
    <row r="936">
      <c r="I936" s="152" t="n"/>
    </row>
    <row r="937">
      <c r="I937" s="152" t="n"/>
    </row>
    <row r="938">
      <c r="I938" s="152" t="n"/>
    </row>
    <row r="939">
      <c r="I939" s="152" t="n"/>
    </row>
    <row r="940">
      <c r="I940" s="152" t="n"/>
    </row>
    <row r="941">
      <c r="I941" s="152" t="n"/>
    </row>
    <row r="942">
      <c r="I942" s="152" t="n"/>
    </row>
    <row r="943">
      <c r="I943" s="152" t="n"/>
    </row>
    <row r="944">
      <c r="I944" s="152" t="n"/>
    </row>
    <row r="945">
      <c r="I945" s="152" t="n"/>
    </row>
    <row r="946">
      <c r="I946" s="152" t="n"/>
    </row>
    <row r="947">
      <c r="I947" s="152" t="n"/>
    </row>
    <row r="948">
      <c r="I948" s="152" t="n"/>
    </row>
    <row r="949">
      <c r="I949" s="152" t="n"/>
    </row>
    <row r="950">
      <c r="I950" s="152" t="n"/>
    </row>
    <row r="951">
      <c r="I951" s="152" t="n"/>
    </row>
    <row r="952">
      <c r="I952" s="152" t="n"/>
    </row>
    <row r="953">
      <c r="I953" s="152" t="n"/>
    </row>
    <row r="954">
      <c r="I954" s="152" t="n"/>
    </row>
    <row r="955">
      <c r="I955" s="152" t="n"/>
    </row>
    <row r="956">
      <c r="I956" s="152" t="n"/>
    </row>
    <row r="957">
      <c r="I957" s="152" t="n"/>
    </row>
    <row r="958">
      <c r="I958" s="152" t="n"/>
    </row>
    <row r="959">
      <c r="I959" s="152" t="n"/>
    </row>
    <row r="960">
      <c r="I960" s="152" t="n"/>
    </row>
    <row r="961">
      <c r="I961" s="152" t="n"/>
    </row>
    <row r="962">
      <c r="I962" s="152" t="n"/>
    </row>
    <row r="963">
      <c r="I963" s="152" t="n"/>
    </row>
    <row r="964">
      <c r="I964" s="152" t="n"/>
    </row>
    <row r="965">
      <c r="I965" s="152" t="n"/>
    </row>
    <row r="966">
      <c r="I966" s="152" t="n"/>
    </row>
    <row r="967">
      <c r="I967" s="152" t="n"/>
    </row>
    <row r="968">
      <c r="I968" s="152" t="n"/>
    </row>
    <row r="969">
      <c r="I969" s="152" t="n"/>
    </row>
    <row r="970">
      <c r="I970" s="152" t="n"/>
    </row>
    <row r="971">
      <c r="I971" s="152" t="n"/>
    </row>
    <row r="972">
      <c r="I972" s="152" t="n"/>
    </row>
    <row r="973">
      <c r="I973" s="152" t="n"/>
    </row>
    <row r="974">
      <c r="I974" s="152" t="n"/>
    </row>
    <row r="975">
      <c r="I975" s="152" t="n"/>
    </row>
    <row r="976">
      <c r="I976" s="152" t="n"/>
    </row>
    <row r="977">
      <c r="I977" s="152" t="n"/>
    </row>
    <row r="978">
      <c r="I978" s="152" t="n"/>
    </row>
    <row r="979">
      <c r="I979" s="152" t="n"/>
    </row>
    <row r="980">
      <c r="I980" s="152" t="n"/>
    </row>
    <row r="981">
      <c r="I981" s="152" t="n"/>
    </row>
    <row r="982">
      <c r="I982" s="152" t="n"/>
    </row>
    <row r="983">
      <c r="I983" s="152" t="n"/>
    </row>
    <row r="984">
      <c r="I984" s="152" t="n"/>
    </row>
    <row r="985">
      <c r="I985" s="152" t="n"/>
    </row>
    <row r="986">
      <c r="I986" s="152" t="n"/>
    </row>
    <row r="987">
      <c r="I987" s="152" t="n"/>
    </row>
    <row r="988">
      <c r="I988" s="152" t="n"/>
    </row>
    <row r="989">
      <c r="I989" s="152" t="n"/>
    </row>
    <row r="990">
      <c r="I990" s="152" t="n"/>
    </row>
    <row r="991">
      <c r="I991" s="152" t="n"/>
    </row>
    <row r="992">
      <c r="I992" s="152" t="n"/>
    </row>
    <row r="993">
      <c r="I993" s="152" t="n"/>
    </row>
    <row r="994">
      <c r="I994" s="152" t="n"/>
    </row>
    <row r="995">
      <c r="I995" s="152" t="n"/>
    </row>
    <row r="996">
      <c r="I996" s="152" t="n"/>
    </row>
    <row r="997">
      <c r="I997" s="152" t="n"/>
    </row>
    <row r="998">
      <c r="I998" s="152" t="n"/>
    </row>
    <row r="999">
      <c r="I999" s="152" t="n"/>
    </row>
    <row r="1000">
      <c r="I1000" s="152" t="n"/>
    </row>
  </sheetData>
  <autoFilter ref="$A$3:$I$248"/>
  <mergeCells count="1">
    <mergeCell ref="A2:I2"/>
  </mergeCells>
  <pageMargins left="0.511811024" right="0.511811024" top="0.787401575" bottom="0.787401575" header="0" footer="0"/>
  <pageSetup orientation="landscape" paperSize="9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71.67" customWidth="1" style="317" min="1" max="1"/>
    <col width="6.22" customWidth="1" style="317" min="2" max="2"/>
    <col width="12.11" customWidth="1" style="317" min="3" max="3"/>
    <col width="11" customWidth="1" style="317" min="4" max="5"/>
    <col width="14.22" customWidth="1" style="317" min="6" max="6"/>
    <col width="12.44" customWidth="1" style="317" min="7" max="7"/>
    <col width="8" customWidth="1" style="317" min="8" max="8"/>
    <col width="33.44" customWidth="1" style="317" min="9" max="9"/>
    <col width="8.890000000000001" customWidth="1" style="317" min="10" max="26"/>
  </cols>
  <sheetData>
    <row r="1" ht="81.75" customHeight="1" s="317">
      <c r="A1" s="1" t="n"/>
      <c r="B1" s="1" t="n"/>
      <c r="C1" s="1" t="n"/>
      <c r="D1" s="1" t="n"/>
      <c r="E1" s="1" t="n"/>
      <c r="F1" s="1" t="n"/>
      <c r="G1" s="1" t="n"/>
      <c r="H1" s="1" t="n"/>
      <c r="I1" s="103" t="n"/>
    </row>
    <row r="2">
      <c r="A2" s="349" t="inlineStr">
        <is>
          <t>PLANILHA VENDAS LIVRARIA EBP-BA 2026</t>
        </is>
      </c>
    </row>
    <row r="3">
      <c r="A3" s="104" t="inlineStr">
        <is>
          <t>PRODUTO / LIVRO / REVISTA</t>
        </is>
      </c>
      <c r="B3" s="104" t="inlineStr">
        <is>
          <t>QTD</t>
        </is>
      </c>
      <c r="C3" s="104" t="inlineStr">
        <is>
          <t>VALOR UNT</t>
        </is>
      </c>
      <c r="D3" s="104" t="inlineStr">
        <is>
          <t>SUBTOTAL</t>
        </is>
      </c>
      <c r="E3" s="104" t="inlineStr">
        <is>
          <t>VALOR FRETE</t>
        </is>
      </c>
      <c r="F3" s="104" t="inlineStr">
        <is>
          <t>VALOR TOTAL</t>
        </is>
      </c>
      <c r="G3" s="105" t="inlineStr">
        <is>
          <t>DATA VENDA</t>
        </is>
      </c>
      <c r="H3" s="105" t="inlineStr">
        <is>
          <t>FORMA PGTO</t>
        </is>
      </c>
      <c r="I3" s="106" t="n"/>
    </row>
    <row r="4">
      <c r="A4" s="200" t="inlineStr">
        <is>
          <t>Três segundos com Lacan</t>
        </is>
      </c>
      <c r="B4" s="165" t="n">
        <v>3</v>
      </c>
      <c r="C4" s="248" t="n">
        <v>100</v>
      </c>
      <c r="D4" s="233">
        <f>B4*C4</f>
        <v/>
      </c>
      <c r="E4" s="236" t="n"/>
      <c r="F4" s="234">
        <f>+D4+E4</f>
        <v/>
      </c>
      <c r="G4" s="195" t="n">
        <v>46027</v>
      </c>
      <c r="H4" s="165" t="inlineStr">
        <is>
          <t>PIX</t>
        </is>
      </c>
      <c r="I4" s="118" t="n"/>
    </row>
    <row r="5">
      <c r="A5" s="200" t="inlineStr">
        <is>
          <t>Três segundos com Lacan</t>
        </is>
      </c>
      <c r="B5" s="165" t="n">
        <v>7</v>
      </c>
      <c r="C5" s="248" t="n">
        <v>100</v>
      </c>
      <c r="D5" s="233" t="n">
        <v>100</v>
      </c>
      <c r="E5" s="236" t="n"/>
      <c r="F5" s="234" t="n">
        <v>100</v>
      </c>
      <c r="G5" s="195" t="n">
        <v>46027</v>
      </c>
      <c r="H5" s="165" t="inlineStr">
        <is>
          <t>PIX</t>
        </is>
      </c>
      <c r="I5" s="118" t="n"/>
    </row>
    <row r="6" ht="15.75" customHeight="1" s="317">
      <c r="A6" s="200" t="inlineStr">
        <is>
          <t>A constitução da realidade segundo a psicanálise</t>
        </is>
      </c>
      <c r="B6" s="165" t="n">
        <v>1</v>
      </c>
      <c r="C6" s="248" t="n">
        <v>60</v>
      </c>
      <c r="D6" s="233">
        <f>B6*C6</f>
        <v/>
      </c>
      <c r="E6" s="236" t="n"/>
      <c r="F6" s="234">
        <f>+D6+E6</f>
        <v/>
      </c>
      <c r="G6" s="195" t="n">
        <v>46029</v>
      </c>
      <c r="H6" s="165" t="inlineStr">
        <is>
          <t>PIX</t>
        </is>
      </c>
      <c r="I6" s="118" t="n"/>
    </row>
    <row r="7">
      <c r="A7" s="236" t="inlineStr">
        <is>
          <t>Seninário 15</t>
        </is>
      </c>
      <c r="B7" s="165" t="n">
        <v>1</v>
      </c>
      <c r="C7" s="248" t="n">
        <v>150</v>
      </c>
      <c r="D7" s="233">
        <f>B7*C7</f>
        <v/>
      </c>
      <c r="E7" s="236" t="n"/>
      <c r="F7" s="234">
        <f>+D7+E7</f>
        <v/>
      </c>
      <c r="G7" s="195" t="n">
        <v>46030</v>
      </c>
      <c r="H7" s="165" t="inlineStr">
        <is>
          <t>PIX</t>
        </is>
      </c>
      <c r="I7" s="118" t="n"/>
    </row>
    <row r="8">
      <c r="A8" s="236" t="inlineStr">
        <is>
          <t>Três segundos com Lacan</t>
        </is>
      </c>
      <c r="B8" s="79" t="n">
        <v>2</v>
      </c>
      <c r="C8" s="110" t="n">
        <v>100</v>
      </c>
      <c r="D8" s="110">
        <f>B8*C8</f>
        <v/>
      </c>
      <c r="E8" s="76" t="n"/>
      <c r="F8" s="110">
        <f>D8+E8</f>
        <v/>
      </c>
      <c r="G8" s="70" t="n">
        <v>46035</v>
      </c>
      <c r="H8" s="165" t="inlineStr">
        <is>
          <t>PIX</t>
        </is>
      </c>
      <c r="I8" s="115" t="n"/>
    </row>
    <row r="9">
      <c r="A9" s="236" t="inlineStr">
        <is>
          <t>O barco sexual</t>
        </is>
      </c>
      <c r="B9" s="79" t="n">
        <v>1</v>
      </c>
      <c r="C9" s="68" t="n">
        <v>80</v>
      </c>
      <c r="D9" s="110">
        <f>B9*C9</f>
        <v/>
      </c>
      <c r="E9" s="76" t="n"/>
      <c r="F9" s="110">
        <f>D9+E9</f>
        <v/>
      </c>
      <c r="G9" s="70" t="n">
        <v>46035</v>
      </c>
      <c r="H9" s="165" t="inlineStr">
        <is>
          <t>PIX</t>
        </is>
      </c>
      <c r="I9" s="118" t="n"/>
    </row>
    <row r="10">
      <c r="A10" s="236" t="inlineStr">
        <is>
          <t>Seminário Nieves</t>
        </is>
      </c>
      <c r="B10" s="79" t="n">
        <v>1</v>
      </c>
      <c r="C10" s="68" t="n">
        <v>20</v>
      </c>
      <c r="D10" s="110">
        <f>B10*C10</f>
        <v/>
      </c>
      <c r="E10" s="76" t="n">
        <v>15</v>
      </c>
      <c r="F10" s="110">
        <f>D10+E10</f>
        <v/>
      </c>
      <c r="G10" s="70" t="n">
        <v>46041</v>
      </c>
      <c r="H10" s="165" t="inlineStr">
        <is>
          <t>PIX</t>
        </is>
      </c>
      <c r="I10" s="118" t="n"/>
    </row>
    <row r="11">
      <c r="A11" s="227" t="inlineStr">
        <is>
          <t>3 livros "Três segundos com Lacan" 1 " Mulheres de Hoje"</t>
        </is>
      </c>
      <c r="B11" s="79" t="n"/>
      <c r="C11" s="249" t="inlineStr">
        <is>
          <t>Consignados</t>
        </is>
      </c>
      <c r="D11" s="110" t="n"/>
      <c r="E11" s="76" t="n"/>
      <c r="F11" s="110" t="n">
        <v>267</v>
      </c>
      <c r="G11" s="70" t="n">
        <v>46050</v>
      </c>
      <c r="H11" s="165" t="inlineStr">
        <is>
          <t>PIX</t>
        </is>
      </c>
      <c r="I11" s="118" t="n"/>
    </row>
    <row r="12">
      <c r="A12" s="236" t="inlineStr">
        <is>
          <t>O que é ser homem</t>
        </is>
      </c>
      <c r="B12" s="79" t="n">
        <v>2</v>
      </c>
      <c r="C12" s="68" t="n">
        <v>70</v>
      </c>
      <c r="D12" s="110">
        <f>B12*C12</f>
        <v/>
      </c>
      <c r="E12" s="76" t="n">
        <v>30</v>
      </c>
      <c r="F12" s="110">
        <f>D12+E12</f>
        <v/>
      </c>
      <c r="G12" s="70" t="n">
        <v>46043</v>
      </c>
      <c r="H12" s="165" t="inlineStr">
        <is>
          <t>PIX</t>
        </is>
      </c>
      <c r="I12" s="118" t="n"/>
    </row>
    <row r="13">
      <c r="A13" s="200" t="inlineStr">
        <is>
          <t xml:space="preserve">Três Segundos com Lacan     </t>
        </is>
      </c>
      <c r="B13" s="79" t="n">
        <v>1</v>
      </c>
      <c r="C13" s="68" t="n">
        <v>100</v>
      </c>
      <c r="D13" s="110">
        <f>B13*C13</f>
        <v/>
      </c>
      <c r="E13" s="76" t="n"/>
      <c r="F13" s="110">
        <f>D13+E13</f>
        <v/>
      </c>
      <c r="G13" s="70" t="n">
        <v>46056</v>
      </c>
      <c r="H13" s="165" t="inlineStr">
        <is>
          <t>PIX</t>
        </is>
      </c>
      <c r="I13" s="118" t="n"/>
    </row>
    <row r="14">
      <c r="A14" s="200" t="inlineStr">
        <is>
          <t>Pricípios de uma psicoterapia de la psicose</t>
        </is>
      </c>
      <c r="B14" s="79" t="n">
        <v>1</v>
      </c>
      <c r="C14" s="68" t="n">
        <v>170</v>
      </c>
      <c r="D14" s="110">
        <f>B14*C14</f>
        <v/>
      </c>
      <c r="E14" s="76" t="n"/>
      <c r="F14" s="110">
        <f>D14+E14</f>
        <v/>
      </c>
      <c r="G14" s="70" t="n">
        <v>46059</v>
      </c>
      <c r="H14" s="165" t="inlineStr">
        <is>
          <t>PIX</t>
        </is>
      </c>
      <c r="I14" s="209" t="n"/>
    </row>
    <row r="15">
      <c r="A15" s="201" t="inlineStr">
        <is>
          <t>A comida e o inconsciente</t>
        </is>
      </c>
      <c r="B15" s="79" t="n">
        <v>1</v>
      </c>
      <c r="C15" s="171" t="inlineStr">
        <is>
          <t>DOAÇÃO</t>
        </is>
      </c>
      <c r="D15" s="110" t="n"/>
      <c r="E15" s="76" t="n"/>
      <c r="F15" s="110">
        <f>D15+E15</f>
        <v/>
      </c>
      <c r="G15" s="91" t="n">
        <v>46063</v>
      </c>
      <c r="H15" s="165" t="inlineStr">
        <is>
          <t>PIX</t>
        </is>
      </c>
      <c r="I15" s="206" t="n"/>
    </row>
    <row r="16">
      <c r="A16" s="200" t="inlineStr">
        <is>
          <t>Intervenciones Analícas em la perspectiva del NO-TODO</t>
        </is>
      </c>
      <c r="B16" s="79" t="n">
        <v>1</v>
      </c>
      <c r="C16" s="171" t="inlineStr">
        <is>
          <t>DOAÇÃO</t>
        </is>
      </c>
      <c r="D16" s="110" t="n"/>
      <c r="E16" s="76" t="n"/>
      <c r="F16" s="110">
        <f>D16+E16</f>
        <v/>
      </c>
      <c r="G16" s="70" t="n">
        <v>46064</v>
      </c>
      <c r="H16" s="165" t="inlineStr">
        <is>
          <t>PIX</t>
        </is>
      </c>
      <c r="I16" s="206" t="n"/>
    </row>
    <row r="17">
      <c r="A17" s="201" t="inlineStr">
        <is>
          <t>A comida e o inconsciente</t>
        </is>
      </c>
      <c r="B17" s="79" t="n">
        <v>1</v>
      </c>
      <c r="C17" s="68" t="n">
        <v>105</v>
      </c>
      <c r="D17" s="110">
        <f>B17*C17</f>
        <v/>
      </c>
      <c r="E17" s="76" t="n"/>
      <c r="F17" s="110">
        <f>D17+E17</f>
        <v/>
      </c>
      <c r="G17" s="70" t="n">
        <v>46062</v>
      </c>
      <c r="H17" s="165" t="inlineStr">
        <is>
          <t>PIX</t>
        </is>
      </c>
      <c r="I17" s="209" t="n"/>
    </row>
    <row r="18">
      <c r="A18" s="201" t="inlineStr">
        <is>
          <t>A comida e o inconsciente</t>
        </is>
      </c>
      <c r="B18" s="79" t="n">
        <v>1</v>
      </c>
      <c r="C18" s="68" t="n">
        <v>105</v>
      </c>
      <c r="D18" s="110">
        <f>B18*C18</f>
        <v/>
      </c>
      <c r="E18" s="76" t="n"/>
      <c r="F18" s="110">
        <f>D18+E18</f>
        <v/>
      </c>
      <c r="G18" s="70" t="n">
        <v>46063</v>
      </c>
      <c r="H18" s="165" t="inlineStr">
        <is>
          <t>PIX</t>
        </is>
      </c>
      <c r="I18" s="209" t="n"/>
    </row>
    <row r="19">
      <c r="A19" s="201" t="inlineStr">
        <is>
          <t>A comida e o inconsciente</t>
        </is>
      </c>
      <c r="B19" s="79" t="n">
        <v>1</v>
      </c>
      <c r="C19" s="68" t="n">
        <v>105</v>
      </c>
      <c r="D19" s="110">
        <f>B19*C19</f>
        <v/>
      </c>
      <c r="E19" s="76" t="n">
        <v>15</v>
      </c>
      <c r="F19" s="110">
        <f>D19+E19</f>
        <v/>
      </c>
      <c r="G19" s="70" t="n">
        <v>46064</v>
      </c>
      <c r="H19" s="165" t="inlineStr">
        <is>
          <t>PIX</t>
        </is>
      </c>
      <c r="I19" s="209" t="n"/>
    </row>
    <row r="20">
      <c r="A20" s="201" t="inlineStr">
        <is>
          <t>A comida e o inconsciente</t>
        </is>
      </c>
      <c r="B20" s="79" t="n">
        <v>1</v>
      </c>
      <c r="C20" s="68" t="n">
        <v>105</v>
      </c>
      <c r="D20" s="110">
        <f>B20*C20</f>
        <v/>
      </c>
      <c r="E20" s="76" t="n"/>
      <c r="F20" s="110">
        <f>D20+E20</f>
        <v/>
      </c>
      <c r="G20" s="70" t="n">
        <v>46064</v>
      </c>
      <c r="H20" s="165" t="inlineStr">
        <is>
          <t>PIX</t>
        </is>
      </c>
      <c r="I20" s="209" t="n"/>
    </row>
    <row r="21">
      <c r="A21" s="201" t="inlineStr">
        <is>
          <t>A comida e o inconsciente</t>
        </is>
      </c>
      <c r="B21" s="79" t="n">
        <v>1</v>
      </c>
      <c r="C21" s="68" t="n">
        <v>105</v>
      </c>
      <c r="D21" s="110">
        <f>B21*C21</f>
        <v/>
      </c>
      <c r="E21" s="76" t="n"/>
      <c r="F21" s="110">
        <f>D21+E21</f>
        <v/>
      </c>
      <c r="G21" s="70" t="n">
        <v>46064</v>
      </c>
      <c r="H21" s="165" t="inlineStr">
        <is>
          <t>PIX</t>
        </is>
      </c>
      <c r="I21" s="209" t="n"/>
    </row>
    <row r="22">
      <c r="A22" s="201" t="inlineStr">
        <is>
          <t>A comida e o inconsciente</t>
        </is>
      </c>
      <c r="B22" s="79" t="n">
        <v>1</v>
      </c>
      <c r="C22" s="68" t="n">
        <v>105</v>
      </c>
      <c r="D22" s="110">
        <f>B22*C22</f>
        <v/>
      </c>
      <c r="E22" s="76" t="n"/>
      <c r="F22" s="110">
        <f>D22+E22</f>
        <v/>
      </c>
      <c r="G22" s="70" t="n">
        <v>46064</v>
      </c>
      <c r="H22" s="165" t="inlineStr">
        <is>
          <t>PIX</t>
        </is>
      </c>
      <c r="I22" s="209" t="n"/>
    </row>
    <row r="23">
      <c r="A23" s="201" t="inlineStr">
        <is>
          <t>A comida e o inconsciente</t>
        </is>
      </c>
      <c r="B23" s="79" t="n">
        <v>1</v>
      </c>
      <c r="C23" s="68" t="n">
        <v>105</v>
      </c>
      <c r="D23" s="110">
        <f>B23*C23</f>
        <v/>
      </c>
      <c r="E23" s="76" t="n"/>
      <c r="F23" s="110">
        <f>D23+E23</f>
        <v/>
      </c>
      <c r="G23" s="70" t="n">
        <v>46064</v>
      </c>
      <c r="H23" s="165" t="inlineStr">
        <is>
          <t>PIX</t>
        </is>
      </c>
      <c r="I23" s="209" t="n"/>
    </row>
    <row r="24">
      <c r="A24" s="201" t="inlineStr">
        <is>
          <t>A comida e o inconsciente</t>
        </is>
      </c>
      <c r="B24" s="79" t="n">
        <v>1</v>
      </c>
      <c r="C24" s="68" t="n">
        <v>105</v>
      </c>
      <c r="D24" s="110">
        <f>B24*C24</f>
        <v/>
      </c>
      <c r="E24" s="76" t="n">
        <v>15</v>
      </c>
      <c r="F24" s="110">
        <f>D24+E24</f>
        <v/>
      </c>
      <c r="G24" s="70" t="n">
        <v>46064</v>
      </c>
      <c r="H24" s="165" t="inlineStr">
        <is>
          <t>PIX</t>
        </is>
      </c>
      <c r="I24" s="209" t="n"/>
    </row>
    <row r="25">
      <c r="A25" s="201" t="inlineStr">
        <is>
          <t>A comida e o inconsciente</t>
        </is>
      </c>
      <c r="B25" s="79" t="n">
        <v>1</v>
      </c>
      <c r="C25" s="68" t="n">
        <v>105</v>
      </c>
      <c r="D25" s="110">
        <f>B25*C25</f>
        <v/>
      </c>
      <c r="E25" s="76" t="n"/>
      <c r="F25" s="110">
        <f>D25+E25</f>
        <v/>
      </c>
      <c r="G25" s="70" t="n">
        <v>46064</v>
      </c>
      <c r="H25" s="165" t="inlineStr">
        <is>
          <t>PIX</t>
        </is>
      </c>
      <c r="I25" s="118" t="n"/>
    </row>
    <row r="26">
      <c r="A26" s="201" t="inlineStr">
        <is>
          <t>A comida e o inconsciente</t>
        </is>
      </c>
      <c r="B26" s="79" t="n">
        <v>1</v>
      </c>
      <c r="C26" s="68" t="n">
        <v>105</v>
      </c>
      <c r="D26" s="110">
        <f>B26*C26</f>
        <v/>
      </c>
      <c r="E26" s="76" t="n">
        <v>15</v>
      </c>
      <c r="F26" s="110">
        <f>D26+E26</f>
        <v/>
      </c>
      <c r="G26" s="70" t="n">
        <v>46064</v>
      </c>
      <c r="H26" s="165" t="inlineStr">
        <is>
          <t>PIX</t>
        </is>
      </c>
      <c r="I26" s="118" t="n"/>
    </row>
    <row r="27">
      <c r="A27" s="201" t="inlineStr">
        <is>
          <t>A comida e o inconsciente</t>
        </is>
      </c>
      <c r="B27" s="79" t="n">
        <v>1</v>
      </c>
      <c r="C27" s="68" t="n">
        <v>105</v>
      </c>
      <c r="D27" s="110">
        <f>B27*C27</f>
        <v/>
      </c>
      <c r="E27" s="76" t="n"/>
      <c r="F27" s="110">
        <f>D27+E27</f>
        <v/>
      </c>
      <c r="G27" s="70" t="n">
        <v>46064</v>
      </c>
      <c r="H27" s="165" t="inlineStr">
        <is>
          <t>PIX</t>
        </is>
      </c>
      <c r="I27" s="118" t="n"/>
    </row>
    <row r="28">
      <c r="A28" s="201" t="inlineStr">
        <is>
          <t>A comida e o inconsciente</t>
        </is>
      </c>
      <c r="B28" s="79" t="n">
        <v>1</v>
      </c>
      <c r="C28" s="68" t="n">
        <v>105</v>
      </c>
      <c r="D28" s="110">
        <f>B28*C28</f>
        <v/>
      </c>
      <c r="E28" s="76" t="n">
        <v>30</v>
      </c>
      <c r="F28" s="110">
        <f>D28+E28</f>
        <v/>
      </c>
      <c r="G28" s="70" t="n">
        <v>46065</v>
      </c>
      <c r="H28" s="165" t="inlineStr">
        <is>
          <t>PIX</t>
        </is>
      </c>
      <c r="I28" s="118" t="n"/>
    </row>
    <row r="29">
      <c r="A29" s="200" t="inlineStr">
        <is>
          <t>Intervenciones Analícas em la perspectiva del NO-TODO</t>
        </is>
      </c>
      <c r="B29" s="79" t="n">
        <v>1</v>
      </c>
      <c r="C29" s="68" t="n">
        <v>100</v>
      </c>
      <c r="D29" s="110">
        <f>B29*C29</f>
        <v/>
      </c>
      <c r="E29" s="76" t="n">
        <v>15</v>
      </c>
      <c r="F29" s="110">
        <f>D29+E29</f>
        <v/>
      </c>
      <c r="G29" s="70" t="n">
        <v>46065</v>
      </c>
      <c r="H29" s="165" t="inlineStr">
        <is>
          <t>PIX</t>
        </is>
      </c>
      <c r="I29" s="118" t="n"/>
    </row>
    <row r="30">
      <c r="A30" s="200" t="inlineStr">
        <is>
          <t>Intervenciones Analícas em la perspectiva del NO-TODO</t>
        </is>
      </c>
      <c r="B30" s="79" t="n">
        <v>1</v>
      </c>
      <c r="C30" s="68" t="n">
        <v>100</v>
      </c>
      <c r="D30" s="110">
        <f>B30*C30</f>
        <v/>
      </c>
      <c r="E30" s="76" t="n">
        <v>15</v>
      </c>
      <c r="F30" s="110">
        <f>D30+E30</f>
        <v/>
      </c>
      <c r="G30" s="70" t="n">
        <v>46065</v>
      </c>
      <c r="H30" s="165" t="inlineStr">
        <is>
          <t>PIX</t>
        </is>
      </c>
      <c r="I30" s="118" t="n"/>
    </row>
    <row r="31">
      <c r="A31" s="201" t="inlineStr">
        <is>
          <t>Envelhecer</t>
        </is>
      </c>
      <c r="B31" s="79" t="n">
        <v>1</v>
      </c>
      <c r="C31" s="68" t="n">
        <v>100</v>
      </c>
      <c r="D31" s="110">
        <f>B31*C31</f>
        <v/>
      </c>
      <c r="E31" s="76" t="n"/>
      <c r="F31" s="110">
        <f>D31+E31</f>
        <v/>
      </c>
      <c r="G31" s="70" t="n">
        <v>46073</v>
      </c>
      <c r="H31" s="165" t="inlineStr">
        <is>
          <t>PIX</t>
        </is>
      </c>
      <c r="I31" s="118" t="n"/>
    </row>
    <row r="32">
      <c r="A32" s="201" t="inlineStr">
        <is>
          <t>Envelhecer</t>
        </is>
      </c>
      <c r="B32" s="79" t="n">
        <v>1</v>
      </c>
      <c r="C32" s="68" t="n">
        <v>100</v>
      </c>
      <c r="D32" s="110">
        <f>B32*C32</f>
        <v/>
      </c>
      <c r="E32" s="76" t="n">
        <v>15</v>
      </c>
      <c r="F32" s="110">
        <f>D32+E32</f>
        <v/>
      </c>
      <c r="G32" s="70" t="n">
        <v>46073</v>
      </c>
      <c r="H32" s="165" t="inlineStr">
        <is>
          <t>PIX</t>
        </is>
      </c>
      <c r="I32" s="118" t="n"/>
    </row>
    <row r="33">
      <c r="A33" s="201" t="inlineStr">
        <is>
          <t>Envelhecer</t>
        </is>
      </c>
      <c r="B33" s="79" t="n">
        <v>1</v>
      </c>
      <c r="C33" s="68" t="n">
        <v>100</v>
      </c>
      <c r="D33" s="110">
        <f>B33*C33</f>
        <v/>
      </c>
      <c r="E33" s="76" t="n"/>
      <c r="F33" s="110">
        <f>D33+E33</f>
        <v/>
      </c>
      <c r="G33" s="70" t="n">
        <v>46073</v>
      </c>
      <c r="H33" s="165" t="inlineStr">
        <is>
          <t>PIX</t>
        </is>
      </c>
      <c r="I33" s="125" t="n"/>
    </row>
    <row r="34">
      <c r="A34" s="201" t="inlineStr">
        <is>
          <t>Envelhecer</t>
        </is>
      </c>
      <c r="B34" s="79" t="n">
        <v>4</v>
      </c>
      <c r="C34" s="68" t="n">
        <v>100</v>
      </c>
      <c r="D34" s="110">
        <f>B34*C34</f>
        <v/>
      </c>
      <c r="E34" s="76" t="n">
        <v>15</v>
      </c>
      <c r="F34" s="110">
        <f>D34+E34</f>
        <v/>
      </c>
      <c r="G34" s="70" t="n">
        <v>46073</v>
      </c>
      <c r="H34" s="165" t="inlineStr">
        <is>
          <t>PIX</t>
        </is>
      </c>
      <c r="I34" s="118" t="n"/>
    </row>
    <row r="35">
      <c r="A35" s="201" t="inlineStr">
        <is>
          <t>Envelhecer</t>
        </is>
      </c>
      <c r="B35" s="79" t="n">
        <v>1</v>
      </c>
      <c r="C35" s="68" t="n">
        <v>100</v>
      </c>
      <c r="D35" s="110">
        <f>B35*C35</f>
        <v/>
      </c>
      <c r="E35" s="76" t="n"/>
      <c r="F35" s="110">
        <f>D35+E35</f>
        <v/>
      </c>
      <c r="G35" s="70" t="n">
        <v>46073</v>
      </c>
      <c r="H35" s="165" t="inlineStr">
        <is>
          <t>PIX</t>
        </is>
      </c>
      <c r="I35" s="118" t="n"/>
    </row>
    <row r="36">
      <c r="A36" s="201" t="inlineStr">
        <is>
          <t>Envelhecer</t>
        </is>
      </c>
      <c r="B36" s="79" t="n">
        <v>1</v>
      </c>
      <c r="C36" s="68" t="n">
        <v>100</v>
      </c>
      <c r="D36" s="110">
        <f>B36*C36</f>
        <v/>
      </c>
      <c r="E36" s="76" t="n"/>
      <c r="F36" s="110">
        <f>D36+E36</f>
        <v/>
      </c>
      <c r="G36" s="70" t="n">
        <v>46073</v>
      </c>
      <c r="H36" s="165" t="inlineStr">
        <is>
          <t>PIX</t>
        </is>
      </c>
      <c r="I36" s="118" t="n"/>
    </row>
    <row r="37">
      <c r="A37" s="201" t="inlineStr">
        <is>
          <t>Envelhecer</t>
        </is>
      </c>
      <c r="B37" s="79" t="n">
        <v>1</v>
      </c>
      <c r="C37" s="68" t="n">
        <v>100</v>
      </c>
      <c r="D37" s="110">
        <f>B37*C37</f>
        <v/>
      </c>
      <c r="E37" s="76" t="n"/>
      <c r="F37" s="110">
        <f>D37+E37</f>
        <v/>
      </c>
      <c r="G37" s="70" t="n">
        <v>46073</v>
      </c>
      <c r="H37" s="165" t="inlineStr">
        <is>
          <t>PIX</t>
        </is>
      </c>
      <c r="I37" s="118" t="n"/>
    </row>
    <row r="38">
      <c r="A38" s="201" t="inlineStr">
        <is>
          <t>Seminário 15 - Lanan</t>
        </is>
      </c>
      <c r="B38" s="79" t="n">
        <v>3</v>
      </c>
      <c r="C38" s="68" t="n">
        <v>150</v>
      </c>
      <c r="D38" s="110">
        <f>B38*C38</f>
        <v/>
      </c>
      <c r="E38" s="76" t="n"/>
      <c r="F38" s="110">
        <f>D38+E38</f>
        <v/>
      </c>
      <c r="G38" s="70" t="n">
        <v>46073</v>
      </c>
      <c r="H38" s="165" t="inlineStr">
        <is>
          <t>PIX</t>
        </is>
      </c>
      <c r="I38" s="118" t="n"/>
    </row>
    <row r="39">
      <c r="A39" s="201" t="inlineStr">
        <is>
          <t>A comida e o inconsciente</t>
        </is>
      </c>
      <c r="B39" s="79" t="n">
        <v>1</v>
      </c>
      <c r="C39" s="68" t="n">
        <v>105</v>
      </c>
      <c r="D39" s="110">
        <f>B39*C39</f>
        <v/>
      </c>
      <c r="E39" s="76" t="n"/>
      <c r="F39" s="110">
        <f>D39+E39</f>
        <v/>
      </c>
      <c r="G39" s="70" t="n">
        <v>46073</v>
      </c>
      <c r="H39" s="165" t="inlineStr">
        <is>
          <t>PIX</t>
        </is>
      </c>
      <c r="I39" s="118" t="n"/>
    </row>
    <row r="40">
      <c r="A40" s="200" t="inlineStr">
        <is>
          <t>Intervenciones Analícas em la perspectiva del NO-TODO</t>
        </is>
      </c>
      <c r="B40" s="79" t="n">
        <v>1</v>
      </c>
      <c r="C40" s="68" t="n">
        <v>100</v>
      </c>
      <c r="D40" s="110">
        <f>B40*C40</f>
        <v/>
      </c>
      <c r="E40" s="76" t="n"/>
      <c r="F40" s="110">
        <f>D40+E40</f>
        <v/>
      </c>
      <c r="G40" s="70" t="n">
        <v>46073</v>
      </c>
      <c r="H40" s="165" t="inlineStr">
        <is>
          <t>PIX</t>
        </is>
      </c>
      <c r="I40" s="118" t="n"/>
    </row>
    <row r="41">
      <c r="A41" s="201" t="inlineStr">
        <is>
          <t xml:space="preserve">Envelhecer </t>
        </is>
      </c>
      <c r="B41" s="79" t="n">
        <v>1</v>
      </c>
      <c r="C41" s="68" t="n">
        <v>100</v>
      </c>
      <c r="D41" s="110">
        <f>B41*C41</f>
        <v/>
      </c>
      <c r="E41" s="76" t="n"/>
      <c r="F41" s="110">
        <f>D41+E41</f>
        <v/>
      </c>
      <c r="G41" s="252" t="inlineStr">
        <is>
          <t>Jornada</t>
        </is>
      </c>
      <c r="H41" s="253" t="inlineStr">
        <is>
          <t>Credito</t>
        </is>
      </c>
      <c r="I41" s="158" t="n"/>
      <c r="J41" s="254" t="n"/>
    </row>
    <row r="42">
      <c r="A42" s="201" t="inlineStr">
        <is>
          <t xml:space="preserve">Envelhecer </t>
        </is>
      </c>
      <c r="B42" s="79" t="n">
        <v>1</v>
      </c>
      <c r="C42" s="68" t="n">
        <v>100</v>
      </c>
      <c r="D42" s="110">
        <f>B42*C42</f>
        <v/>
      </c>
      <c r="E42" s="76" t="n"/>
      <c r="F42" s="110" t="n">
        <v>100</v>
      </c>
      <c r="G42" s="70" t="n">
        <v>46073</v>
      </c>
      <c r="H42" s="79" t="inlineStr">
        <is>
          <t>PIX</t>
        </is>
      </c>
      <c r="I42" s="118" t="n"/>
    </row>
    <row r="43">
      <c r="A43" s="201" t="inlineStr">
        <is>
          <t>A comida e o inconsciente</t>
        </is>
      </c>
      <c r="B43" s="79" t="n">
        <v>1</v>
      </c>
      <c r="C43" s="68" t="n">
        <v>105</v>
      </c>
      <c r="D43" s="110">
        <f>B43*C43</f>
        <v/>
      </c>
      <c r="E43" s="76" t="n"/>
      <c r="F43" s="110">
        <f>D43+E43</f>
        <v/>
      </c>
      <c r="G43" s="70" t="n">
        <v>46073</v>
      </c>
      <c r="H43" s="79" t="inlineStr">
        <is>
          <t>PIX</t>
        </is>
      </c>
      <c r="I43" s="118" t="n"/>
    </row>
    <row r="44">
      <c r="A44" s="200" t="inlineStr">
        <is>
          <t>Intervenciones Analícas em la perspectiva del NO-TODO</t>
        </is>
      </c>
      <c r="B44" s="79" t="n">
        <v>1</v>
      </c>
      <c r="C44" s="68" t="n">
        <v>100</v>
      </c>
      <c r="D44" s="110">
        <f>B44*C44</f>
        <v/>
      </c>
      <c r="E44" s="76" t="n"/>
      <c r="F44" s="110">
        <f>D44+E44</f>
        <v/>
      </c>
      <c r="G44" s="70" t="n">
        <v>46076</v>
      </c>
      <c r="H44" s="79" t="inlineStr">
        <is>
          <t>PIX</t>
        </is>
      </c>
      <c r="I44" s="118" t="n"/>
    </row>
    <row r="45">
      <c r="A45" s="201" t="inlineStr">
        <is>
          <t>A comida e o inconsciente</t>
        </is>
      </c>
      <c r="B45" s="79" t="n">
        <v>1</v>
      </c>
      <c r="C45" s="68" t="n">
        <v>105</v>
      </c>
      <c r="D45" s="110">
        <f>B45*C45</f>
        <v/>
      </c>
      <c r="E45" s="76" t="n"/>
      <c r="F45" s="110">
        <f>D45+E45</f>
        <v/>
      </c>
      <c r="G45" s="70" t="n">
        <v>46076</v>
      </c>
      <c r="H45" s="79" t="inlineStr">
        <is>
          <t>PIX</t>
        </is>
      </c>
      <c r="I45" s="118" t="n"/>
    </row>
    <row r="46">
      <c r="A46" s="200" t="inlineStr">
        <is>
          <t>Envelhecer</t>
        </is>
      </c>
      <c r="B46" s="79" t="n">
        <v>1</v>
      </c>
      <c r="C46" s="68" t="n">
        <v>100</v>
      </c>
      <c r="D46" s="110">
        <f>B46*C46</f>
        <v/>
      </c>
      <c r="E46" s="76" t="n"/>
      <c r="F46" s="110">
        <f>D46+E46</f>
        <v/>
      </c>
      <c r="G46" s="70" t="n">
        <v>46076</v>
      </c>
      <c r="H46" s="79" t="inlineStr">
        <is>
          <t>PIX</t>
        </is>
      </c>
      <c r="I46" s="118" t="n"/>
    </row>
    <row r="47">
      <c r="A47" s="201" t="inlineStr">
        <is>
          <t>A comida e o inconsciente</t>
        </is>
      </c>
      <c r="B47" s="79" t="n">
        <v>1</v>
      </c>
      <c r="C47" s="68" t="n">
        <v>105</v>
      </c>
      <c r="D47" s="110">
        <f>B47*C47</f>
        <v/>
      </c>
      <c r="E47" s="76" t="n">
        <v>15</v>
      </c>
      <c r="F47" s="110">
        <f>D47+E47</f>
        <v/>
      </c>
      <c r="G47" s="70" t="n">
        <v>46077</v>
      </c>
      <c r="H47" s="79" t="inlineStr">
        <is>
          <t>PIX</t>
        </is>
      </c>
      <c r="I47" s="118" t="n"/>
    </row>
    <row r="48">
      <c r="A48" s="201" t="inlineStr">
        <is>
          <t>A comida e o inconsciente</t>
        </is>
      </c>
      <c r="B48" s="79" t="n">
        <v>1</v>
      </c>
      <c r="C48" s="68" t="n">
        <v>105</v>
      </c>
      <c r="D48" s="110">
        <f>B48*C48</f>
        <v/>
      </c>
      <c r="E48" s="76" t="n"/>
      <c r="F48" s="110">
        <f>D48+E48</f>
        <v/>
      </c>
      <c r="G48" s="70" t="n">
        <v>46077</v>
      </c>
      <c r="H48" s="79" t="inlineStr">
        <is>
          <t>PIX</t>
        </is>
      </c>
      <c r="I48" s="118" t="n"/>
    </row>
    <row r="49">
      <c r="A49" s="201" t="inlineStr">
        <is>
          <t>Envelhecer</t>
        </is>
      </c>
      <c r="B49" s="79" t="n">
        <v>1</v>
      </c>
      <c r="C49" s="68" t="n">
        <v>100</v>
      </c>
      <c r="D49" s="110">
        <f>B49*C49</f>
        <v/>
      </c>
      <c r="E49" s="117" t="n"/>
      <c r="F49" s="110">
        <f>D49+E49</f>
        <v/>
      </c>
      <c r="G49" s="83" t="n">
        <v>46078</v>
      </c>
      <c r="H49" s="79" t="inlineStr">
        <is>
          <t>PIX</t>
        </is>
      </c>
      <c r="I49" s="136" t="n"/>
    </row>
    <row r="50">
      <c r="A50" s="201" t="inlineStr">
        <is>
          <t>Seminário 15  - Lacan   Ato Analítico</t>
        </is>
      </c>
      <c r="B50" s="79" t="n">
        <v>1</v>
      </c>
      <c r="C50" s="68" t="n">
        <v>150</v>
      </c>
      <c r="D50" s="110">
        <f>B50*C50</f>
        <v/>
      </c>
      <c r="E50" s="117" t="n"/>
      <c r="F50" s="110">
        <f>D50+E50</f>
        <v/>
      </c>
      <c r="G50" s="91" t="n">
        <v>46078</v>
      </c>
      <c r="H50" s="79" t="inlineStr">
        <is>
          <t>PIX</t>
        </is>
      </c>
      <c r="I50" s="206" t="n"/>
    </row>
    <row r="51">
      <c r="A51" s="200" t="inlineStr">
        <is>
          <t>Intervenciones Analícas em la perspectiva del NO-TODO</t>
        </is>
      </c>
      <c r="B51" s="79" t="n">
        <v>1</v>
      </c>
      <c r="C51" s="68" t="n">
        <v>100</v>
      </c>
      <c r="D51" s="110">
        <f>B51*C51</f>
        <v/>
      </c>
      <c r="E51" s="117" t="n"/>
      <c r="F51" s="110">
        <f>D51+E51</f>
        <v/>
      </c>
      <c r="G51" s="91" t="n">
        <v>46078</v>
      </c>
      <c r="H51" s="79" t="inlineStr">
        <is>
          <t>PIX</t>
        </is>
      </c>
      <c r="I51" s="125" t="n"/>
    </row>
    <row r="52">
      <c r="A52" s="201" t="inlineStr">
        <is>
          <t>A comida e o inconsciente</t>
        </is>
      </c>
      <c r="B52" s="79" t="n">
        <v>1</v>
      </c>
      <c r="C52" s="68" t="n">
        <v>105</v>
      </c>
      <c r="D52" s="110">
        <f>B52*C52</f>
        <v/>
      </c>
      <c r="E52" s="117" t="n"/>
      <c r="F52" s="110">
        <f>D52+E52</f>
        <v/>
      </c>
      <c r="G52" s="91" t="n">
        <v>46078</v>
      </c>
      <c r="H52" s="79" t="inlineStr">
        <is>
          <t>PIX</t>
        </is>
      </c>
      <c r="I52" s="125" t="n"/>
    </row>
    <row r="53">
      <c r="A53" s="201" t="inlineStr">
        <is>
          <t>A comida e o inconsciente</t>
        </is>
      </c>
      <c r="B53" s="79" t="n">
        <v>1</v>
      </c>
      <c r="C53" s="68" t="n">
        <v>105</v>
      </c>
      <c r="D53" s="110">
        <f>B53*C53</f>
        <v/>
      </c>
      <c r="E53" s="76" t="n"/>
      <c r="F53" s="110">
        <f>D53+E53</f>
        <v/>
      </c>
      <c r="G53" s="70" t="n">
        <v>46078</v>
      </c>
      <c r="H53" s="79" t="inlineStr">
        <is>
          <t>PIX</t>
        </is>
      </c>
      <c r="I53" s="118" t="n"/>
    </row>
    <row r="54">
      <c r="A54" s="201" t="inlineStr">
        <is>
          <t>Seminário 15  - Lacan   Ato Analítico</t>
        </is>
      </c>
      <c r="B54" s="79" t="n">
        <v>1</v>
      </c>
      <c r="C54" s="68" t="n">
        <v>150</v>
      </c>
      <c r="D54" s="110">
        <f>B54*C54</f>
        <v/>
      </c>
      <c r="E54" s="76" t="n"/>
      <c r="F54" s="110">
        <f>D54+E54</f>
        <v/>
      </c>
      <c r="G54" s="70" t="n">
        <v>46078</v>
      </c>
      <c r="H54" s="79" t="inlineStr">
        <is>
          <t>PIX</t>
        </is>
      </c>
      <c r="I54" s="118" t="n"/>
    </row>
    <row r="55">
      <c r="A55" s="201" t="inlineStr">
        <is>
          <t>Envelhecer</t>
        </is>
      </c>
      <c r="B55" s="79" t="n">
        <v>1</v>
      </c>
      <c r="C55" s="68" t="n">
        <v>100</v>
      </c>
      <c r="D55" s="110">
        <f>B55*C55</f>
        <v/>
      </c>
      <c r="E55" s="90" t="n"/>
      <c r="F55" s="110">
        <f>D55+E55</f>
        <v/>
      </c>
      <c r="G55" s="91" t="n">
        <v>46078</v>
      </c>
      <c r="H55" s="79" t="inlineStr">
        <is>
          <t>PIX</t>
        </is>
      </c>
      <c r="I55" s="125" t="n"/>
    </row>
    <row r="56">
      <c r="A56" s="201" t="inlineStr">
        <is>
          <t>Evelhecer</t>
        </is>
      </c>
      <c r="B56" s="79" t="n">
        <v>1</v>
      </c>
      <c r="C56" s="68" t="n">
        <v>100</v>
      </c>
      <c r="D56" s="110">
        <f>B56*C56</f>
        <v/>
      </c>
      <c r="E56" s="76" t="n"/>
      <c r="F56" s="110">
        <f>D56+E56</f>
        <v/>
      </c>
      <c r="G56" s="70" t="n">
        <v>46078</v>
      </c>
      <c r="H56" s="79" t="inlineStr">
        <is>
          <t>PIX</t>
        </is>
      </c>
      <c r="I56" s="118" t="n"/>
    </row>
    <row r="57">
      <c r="A57" s="201" t="inlineStr">
        <is>
          <t>Evelhecer</t>
        </is>
      </c>
      <c r="B57" s="79" t="n">
        <v>1</v>
      </c>
      <c r="C57" s="68" t="n">
        <v>100</v>
      </c>
      <c r="D57" s="110">
        <f>B57*C57</f>
        <v/>
      </c>
      <c r="E57" s="76" t="n"/>
      <c r="F57" s="110">
        <f>D57+E57</f>
        <v/>
      </c>
      <c r="G57" s="83" t="n">
        <v>46079</v>
      </c>
      <c r="H57" s="79" t="inlineStr">
        <is>
          <t>PIX</t>
        </is>
      </c>
      <c r="I57" s="118" t="n"/>
    </row>
    <row r="58">
      <c r="A58" s="201" t="inlineStr">
        <is>
          <t>Evelhecer</t>
        </is>
      </c>
      <c r="B58" s="79" t="n">
        <v>1</v>
      </c>
      <c r="C58" s="68" t="n">
        <v>100</v>
      </c>
      <c r="D58" s="110">
        <f>B58*C58</f>
        <v/>
      </c>
      <c r="E58" s="76" t="n"/>
      <c r="F58" s="110">
        <f>D58+E58</f>
        <v/>
      </c>
      <c r="G58" s="70" t="inlineStr">
        <is>
          <t>27/022026</t>
        </is>
      </c>
      <c r="H58" s="86" t="n"/>
      <c r="I58" s="118" t="n"/>
    </row>
    <row r="59">
      <c r="A59" s="201" t="inlineStr">
        <is>
          <t>Evelhecer</t>
        </is>
      </c>
      <c r="B59" s="79" t="n">
        <v>1</v>
      </c>
      <c r="C59" s="68" t="n">
        <v>100</v>
      </c>
      <c r="D59" s="110">
        <f>B59*C59</f>
        <v/>
      </c>
      <c r="E59" s="76" t="n"/>
      <c r="F59" s="110">
        <f>D59+E59</f>
        <v/>
      </c>
      <c r="G59" s="70" t="n">
        <v>46083</v>
      </c>
      <c r="H59" s="86" t="n"/>
      <c r="I59" s="118" t="n"/>
    </row>
    <row r="60">
      <c r="A60" s="201" t="inlineStr">
        <is>
          <t>Três Segundos com Lacan</t>
        </is>
      </c>
      <c r="B60" s="79" t="n">
        <v>1</v>
      </c>
      <c r="C60" s="68" t="n">
        <v>100</v>
      </c>
      <c r="D60" s="110">
        <f>C60</f>
        <v/>
      </c>
      <c r="E60" s="76" t="n">
        <v>15</v>
      </c>
      <c r="F60" s="110">
        <f>D60+E60</f>
        <v/>
      </c>
      <c r="G60" s="70" t="n">
        <v>46083</v>
      </c>
      <c r="H60" s="86" t="n"/>
      <c r="I60" s="118" t="n"/>
    </row>
    <row r="61">
      <c r="A61" s="200" t="inlineStr">
        <is>
          <t>Intervenciones Analícas em la perspectiva del NO-TODO</t>
        </is>
      </c>
      <c r="B61" s="79" t="n">
        <v>1</v>
      </c>
      <c r="C61" s="68" t="n">
        <v>100</v>
      </c>
      <c r="D61" s="110">
        <f>B61*C61</f>
        <v/>
      </c>
      <c r="E61" s="76" t="n">
        <v>15</v>
      </c>
      <c r="F61" s="110">
        <f>D61+E61</f>
        <v/>
      </c>
      <c r="G61" s="70" t="n">
        <v>46083</v>
      </c>
      <c r="H61" s="86" t="n"/>
      <c r="I61" s="118" t="n"/>
    </row>
    <row r="62">
      <c r="A62" s="200" t="inlineStr">
        <is>
          <t>Três segundos com Lacan</t>
        </is>
      </c>
      <c r="B62" s="79" t="n">
        <v>1</v>
      </c>
      <c r="C62" s="68" t="n">
        <v>100</v>
      </c>
      <c r="D62" s="110">
        <f>B62*C62</f>
        <v/>
      </c>
      <c r="E62" s="76" t="n">
        <v>15</v>
      </c>
      <c r="F62" s="110">
        <f>D62+E62</f>
        <v/>
      </c>
      <c r="G62" s="83" t="n">
        <v>46084</v>
      </c>
      <c r="H62" s="86" t="n"/>
      <c r="I62" s="136" t="n"/>
    </row>
    <row r="63">
      <c r="A63" s="201" t="inlineStr">
        <is>
          <t>Evelhecer</t>
        </is>
      </c>
      <c r="B63" s="79" t="n">
        <v>1</v>
      </c>
      <c r="C63" s="68" t="n">
        <v>100</v>
      </c>
      <c r="D63" s="110">
        <f>B63*C63</f>
        <v/>
      </c>
      <c r="E63" s="117" t="n"/>
      <c r="F63" s="110">
        <f>D63+E63</f>
        <v/>
      </c>
      <c r="G63" s="70" t="n">
        <v>46084</v>
      </c>
      <c r="H63" s="86" t="n"/>
      <c r="I63" s="136" t="n"/>
    </row>
    <row r="64">
      <c r="A64" s="201" t="inlineStr">
        <is>
          <t>Evelhecer</t>
        </is>
      </c>
      <c r="B64" s="79" t="n">
        <v>1</v>
      </c>
      <c r="C64" s="68" t="n">
        <v>100</v>
      </c>
      <c r="D64" s="110">
        <f>B64*C64</f>
        <v/>
      </c>
      <c r="E64" s="117" t="n"/>
      <c r="F64" s="110">
        <f>D64+E64</f>
        <v/>
      </c>
      <c r="G64" s="83" t="n">
        <v>46084</v>
      </c>
      <c r="H64" s="86" t="n"/>
      <c r="I64" s="136" t="n"/>
    </row>
    <row r="65">
      <c r="A65" s="201" t="inlineStr">
        <is>
          <t>Evelhecer</t>
        </is>
      </c>
      <c r="B65" s="79" t="n">
        <v>1</v>
      </c>
      <c r="C65" s="68" t="n">
        <v>100</v>
      </c>
      <c r="D65" s="110">
        <f>B65*C65</f>
        <v/>
      </c>
      <c r="E65" s="117" t="n"/>
      <c r="F65" s="110">
        <f>D65+E65</f>
        <v/>
      </c>
      <c r="G65" s="70" t="n">
        <v>46084</v>
      </c>
      <c r="H65" s="86" t="n"/>
      <c r="I65" s="136" t="n"/>
    </row>
    <row r="66">
      <c r="A66" s="201" t="inlineStr">
        <is>
          <t>Evelhecer</t>
        </is>
      </c>
      <c r="B66" s="79" t="n">
        <v>1</v>
      </c>
      <c r="C66" s="68" t="n">
        <v>100</v>
      </c>
      <c r="D66" s="110">
        <f>B66*C66</f>
        <v/>
      </c>
      <c r="E66" s="90" t="n"/>
      <c r="F66" s="110">
        <f>D66+E66</f>
        <v/>
      </c>
      <c r="G66" s="83" t="n">
        <v>46084</v>
      </c>
      <c r="H66" s="86" t="n"/>
      <c r="I66" s="136" t="n"/>
    </row>
    <row r="67">
      <c r="A67" s="201" t="inlineStr">
        <is>
          <t>Evelhecer</t>
        </is>
      </c>
      <c r="B67" s="79" t="n">
        <v>1</v>
      </c>
      <c r="C67" s="68" t="n">
        <v>100</v>
      </c>
      <c r="D67" s="110">
        <f>B67*C67</f>
        <v/>
      </c>
      <c r="E67" s="117" t="n"/>
      <c r="F67" s="110">
        <f>D67+E67</f>
        <v/>
      </c>
      <c r="G67" s="70" t="n">
        <v>46084</v>
      </c>
      <c r="H67" s="86" t="n"/>
      <c r="I67" s="136" t="n"/>
    </row>
    <row r="68">
      <c r="A68" s="236" t="inlineStr">
        <is>
          <t>O Campo Uniano</t>
        </is>
      </c>
      <c r="B68" s="79" t="n">
        <v>1</v>
      </c>
      <c r="C68" s="68" t="n">
        <v>130</v>
      </c>
      <c r="D68" s="110">
        <f>B68*C68</f>
        <v/>
      </c>
      <c r="E68" s="117" t="n"/>
      <c r="F68" s="110">
        <f>D68+E68</f>
        <v/>
      </c>
      <c r="G68" s="70" t="n">
        <v>46084</v>
      </c>
      <c r="H68" s="86" t="n"/>
      <c r="I68" s="118" t="n"/>
    </row>
    <row r="69">
      <c r="A69" s="236" t="inlineStr">
        <is>
          <t>Envelhecer</t>
        </is>
      </c>
      <c r="B69" s="79" t="n">
        <v>1</v>
      </c>
      <c r="C69" s="68" t="n">
        <v>100</v>
      </c>
      <c r="D69" s="110">
        <f>B69*C69</f>
        <v/>
      </c>
      <c r="E69" s="76" t="n"/>
      <c r="F69" s="110">
        <f>D69+E69</f>
        <v/>
      </c>
      <c r="G69" s="70" t="n">
        <v>46084</v>
      </c>
      <c r="H69" s="86" t="n"/>
      <c r="I69" s="118" t="n"/>
    </row>
    <row r="70">
      <c r="A70" s="236" t="inlineStr">
        <is>
          <t>Envelhecer</t>
        </is>
      </c>
      <c r="B70" s="79" t="n">
        <v>1</v>
      </c>
      <c r="C70" s="68" t="n">
        <v>100</v>
      </c>
      <c r="D70" s="110">
        <f>B70*C70</f>
        <v/>
      </c>
      <c r="E70" s="76" t="n"/>
      <c r="F70" s="110">
        <f>D70+E70</f>
        <v/>
      </c>
      <c r="G70" s="70" t="n">
        <v>46085</v>
      </c>
      <c r="H70" s="86" t="n"/>
      <c r="I70" s="118" t="n"/>
    </row>
    <row r="71">
      <c r="A71" s="236" t="inlineStr">
        <is>
          <t>A comida e o inconsciente</t>
        </is>
      </c>
      <c r="B71" s="79" t="n">
        <v>1</v>
      </c>
      <c r="C71" s="68" t="n">
        <v>105</v>
      </c>
      <c r="D71" s="110">
        <f>B71*C71</f>
        <v/>
      </c>
      <c r="E71" s="90" t="n"/>
      <c r="F71" s="110">
        <f>D71+E71</f>
        <v/>
      </c>
      <c r="G71" s="91" t="n">
        <v>46085</v>
      </c>
      <c r="H71" s="86" t="n"/>
      <c r="I71" s="125" t="n"/>
    </row>
    <row r="72">
      <c r="A72" s="236" t="inlineStr">
        <is>
          <t>A comida e o inconsciente</t>
        </is>
      </c>
      <c r="B72" s="79" t="n">
        <v>1</v>
      </c>
      <c r="C72" s="68" t="n">
        <v>105</v>
      </c>
      <c r="D72" s="110">
        <f>B72*C72</f>
        <v/>
      </c>
      <c r="E72" s="76" t="n"/>
      <c r="F72" s="110">
        <f>D72+E72</f>
        <v/>
      </c>
      <c r="G72" s="70" t="n">
        <v>46085</v>
      </c>
      <c r="H72" s="86" t="n"/>
      <c r="I72" s="118" t="n"/>
    </row>
    <row r="73">
      <c r="A73" s="236" t="inlineStr">
        <is>
          <t>Envelhecer</t>
        </is>
      </c>
      <c r="B73" s="79" t="n">
        <v>1</v>
      </c>
      <c r="C73" s="68" t="n">
        <v>100</v>
      </c>
      <c r="D73" s="110">
        <f>B73*C73</f>
        <v/>
      </c>
      <c r="E73" s="76" t="n"/>
      <c r="F73" s="110">
        <f>D73+E73</f>
        <v/>
      </c>
      <c r="G73" s="70" t="n">
        <v>46085</v>
      </c>
      <c r="H73" s="86" t="n"/>
      <c r="I73" s="118" t="n"/>
    </row>
    <row r="74">
      <c r="A74" s="236" t="inlineStr">
        <is>
          <t>O barco sexual</t>
        </is>
      </c>
      <c r="B74" s="79" t="n">
        <v>1</v>
      </c>
      <c r="C74" s="68" t="n">
        <v>80</v>
      </c>
      <c r="D74" s="110">
        <f>B74*C74</f>
        <v/>
      </c>
      <c r="E74" s="76" t="n"/>
      <c r="F74" s="110">
        <f>D74+E74</f>
        <v/>
      </c>
      <c r="G74" s="70" t="n">
        <v>46085</v>
      </c>
      <c r="H74" s="79" t="n"/>
      <c r="I74" s="118" t="n"/>
    </row>
    <row r="75">
      <c r="A75" s="200" t="inlineStr">
        <is>
          <t>Intervenciones Analícas em la perspectiva del NO-TODO</t>
        </is>
      </c>
      <c r="B75" s="79" t="n">
        <v>1</v>
      </c>
      <c r="C75" s="68" t="n">
        <v>100</v>
      </c>
      <c r="D75" s="110">
        <f>B75*C75</f>
        <v/>
      </c>
      <c r="E75" s="76" t="n"/>
      <c r="F75" s="110">
        <f>D75+E75</f>
        <v/>
      </c>
      <c r="G75" s="70" t="n">
        <v>46085</v>
      </c>
      <c r="H75" s="79" t="n"/>
      <c r="I75" s="118" t="n"/>
    </row>
    <row r="76">
      <c r="A76" s="236" t="inlineStr">
        <is>
          <t>Envelhecer</t>
        </is>
      </c>
      <c r="B76" s="79" t="n">
        <v>3</v>
      </c>
      <c r="C76" s="68" t="n">
        <v>100</v>
      </c>
      <c r="D76" s="110">
        <f>B76*C76</f>
        <v/>
      </c>
      <c r="E76" s="76" t="n"/>
      <c r="F76" s="110">
        <f>D76+E76</f>
        <v/>
      </c>
      <c r="G76" s="70" t="n">
        <v>46085</v>
      </c>
      <c r="H76" s="79" t="n"/>
      <c r="I76" s="118" t="n"/>
    </row>
    <row r="77">
      <c r="A77" s="201" t="inlineStr">
        <is>
          <t>Seminário 15  - Lacan   Ato Analítico</t>
        </is>
      </c>
      <c r="B77" s="79" t="n">
        <v>1</v>
      </c>
      <c r="C77" s="68" t="n">
        <v>150</v>
      </c>
      <c r="D77" s="110">
        <f>B77*C77</f>
        <v/>
      </c>
      <c r="E77" s="150" t="n"/>
      <c r="F77" s="110">
        <f>D77+E77</f>
        <v/>
      </c>
      <c r="G77" s="70" t="n">
        <v>46085</v>
      </c>
      <c r="H77" s="79" t="n"/>
      <c r="I77" s="118" t="n"/>
    </row>
    <row r="78">
      <c r="A78" s="236" t="inlineStr">
        <is>
          <t>A comida e o inconsciente</t>
        </is>
      </c>
      <c r="B78" s="79" t="n">
        <v>1</v>
      </c>
      <c r="C78" s="68" t="n">
        <v>105</v>
      </c>
      <c r="D78" s="110">
        <f>B78*C78</f>
        <v/>
      </c>
      <c r="E78" s="150" t="n"/>
      <c r="F78" s="110">
        <f>D78+E78</f>
        <v/>
      </c>
      <c r="G78" s="70" t="n">
        <v>46087</v>
      </c>
      <c r="H78" s="79" t="n"/>
      <c r="I78" s="118" t="n"/>
    </row>
    <row r="79">
      <c r="A79" s="236" t="inlineStr">
        <is>
          <t>Seminário 15 - Lacan Ato Analítico</t>
        </is>
      </c>
      <c r="B79" s="79" t="n">
        <v>1</v>
      </c>
      <c r="C79" s="68" t="n">
        <v>150</v>
      </c>
      <c r="D79" s="110">
        <f>B79*C79</f>
        <v/>
      </c>
      <c r="E79" s="90" t="n"/>
      <c r="F79" s="110">
        <f>D79+E79</f>
        <v/>
      </c>
      <c r="G79" s="261" t="n">
        <v>46087</v>
      </c>
      <c r="H79" s="79" t="n"/>
      <c r="I79" s="112" t="n"/>
    </row>
    <row r="80">
      <c r="A80" s="236" t="inlineStr">
        <is>
          <t>Envelhecer</t>
        </is>
      </c>
      <c r="B80" s="79" t="n">
        <v>1</v>
      </c>
      <c r="C80" s="68" t="n">
        <v>100</v>
      </c>
      <c r="D80" s="110">
        <f>B80*C80</f>
        <v/>
      </c>
      <c r="E80" s="90" t="n"/>
      <c r="F80" s="110">
        <f>D80+E80</f>
        <v/>
      </c>
      <c r="G80" s="70" t="n">
        <v>46087</v>
      </c>
      <c r="H80" s="79" t="n"/>
      <c r="I80" s="112" t="n"/>
    </row>
    <row r="81">
      <c r="A81" s="236" t="inlineStr">
        <is>
          <t>Envelhecer</t>
        </is>
      </c>
      <c r="B81" s="79" t="n">
        <v>1</v>
      </c>
      <c r="C81" s="68" t="n">
        <v>100</v>
      </c>
      <c r="D81" s="110">
        <f>B81*C81</f>
        <v/>
      </c>
      <c r="E81" s="90" t="n"/>
      <c r="F81" s="110">
        <f>D81+E81</f>
        <v/>
      </c>
      <c r="G81" s="70" t="n">
        <v>46090</v>
      </c>
      <c r="H81" s="79" t="n"/>
      <c r="I81" s="118" t="n"/>
    </row>
    <row r="82">
      <c r="A82" s="236" t="inlineStr">
        <is>
          <t>Envelhecer</t>
        </is>
      </c>
      <c r="B82" s="79" t="n">
        <v>1</v>
      </c>
      <c r="C82" s="68" t="n">
        <v>100</v>
      </c>
      <c r="D82" s="110">
        <f>B82*C82</f>
        <v/>
      </c>
      <c r="E82" s="109" t="n"/>
      <c r="F82" s="110">
        <f>D82+E82</f>
        <v/>
      </c>
      <c r="G82" s="70" t="n">
        <v>46090</v>
      </c>
      <c r="H82" s="79" t="n"/>
      <c r="I82" s="118" t="n"/>
    </row>
    <row r="83">
      <c r="A83" s="236" t="inlineStr">
        <is>
          <t>Envelhecer</t>
        </is>
      </c>
      <c r="B83" s="79" t="n">
        <v>1</v>
      </c>
      <c r="C83" s="68" t="n">
        <v>100</v>
      </c>
      <c r="D83" s="110">
        <f>B83*C83</f>
        <v/>
      </c>
      <c r="E83" s="109" t="n">
        <v>15</v>
      </c>
      <c r="F83" s="110">
        <f>D83+E83</f>
        <v/>
      </c>
      <c r="G83" s="83" t="n">
        <v>46090</v>
      </c>
      <c r="H83" s="79" t="n"/>
      <c r="I83" s="118" t="n"/>
    </row>
    <row r="84">
      <c r="A84" s="236" t="inlineStr">
        <is>
          <t>A comida e o inconsciente</t>
        </is>
      </c>
      <c r="B84" s="79" t="n">
        <v>1</v>
      </c>
      <c r="C84" s="68" t="n">
        <v>105</v>
      </c>
      <c r="D84" s="110">
        <f>B84*C84</f>
        <v/>
      </c>
      <c r="E84" s="117" t="n"/>
      <c r="F84" s="110">
        <f>D84+E84</f>
        <v/>
      </c>
      <c r="G84" s="70" t="n">
        <v>46090</v>
      </c>
      <c r="H84" s="79" t="n"/>
      <c r="I84" s="118" t="n"/>
    </row>
    <row r="85">
      <c r="A85" s="236" t="inlineStr">
        <is>
          <t>A comida e o inconsciente</t>
        </is>
      </c>
      <c r="B85" s="79" t="n">
        <v>1</v>
      </c>
      <c r="C85" s="68" t="n">
        <v>105</v>
      </c>
      <c r="D85" s="110">
        <f>B85*C85</f>
        <v/>
      </c>
      <c r="E85" s="117" t="n"/>
      <c r="F85" s="110">
        <f>D85+E85</f>
        <v/>
      </c>
      <c r="G85" s="70" t="n">
        <v>46090</v>
      </c>
      <c r="H85" s="79" t="n"/>
      <c r="I85" s="118" t="n"/>
    </row>
    <row r="86">
      <c r="A86" s="236" t="inlineStr">
        <is>
          <t>O que é ser homem</t>
        </is>
      </c>
      <c r="B86" s="79" t="n">
        <v>1</v>
      </c>
      <c r="C86" s="68" t="n">
        <v>70</v>
      </c>
      <c r="D86" s="110">
        <f>B86*C86</f>
        <v/>
      </c>
      <c r="E86" s="117" t="n">
        <v>15</v>
      </c>
      <c r="F86" s="110">
        <f>D86+E86</f>
        <v/>
      </c>
      <c r="G86" s="70" t="n">
        <v>46091</v>
      </c>
      <c r="H86" s="79" t="n"/>
      <c r="I86" s="118" t="n"/>
    </row>
    <row r="87">
      <c r="A87" s="236" t="inlineStr">
        <is>
          <t>Revista Correio</t>
        </is>
      </c>
      <c r="B87" s="79" t="n">
        <v>1</v>
      </c>
      <c r="C87" s="68" t="n">
        <v>10</v>
      </c>
      <c r="D87" s="110">
        <f>B87*C87</f>
        <v/>
      </c>
      <c r="E87" s="117" t="n"/>
      <c r="F87" s="110">
        <f>D87+E87</f>
        <v/>
      </c>
      <c r="G87" s="70" t="n">
        <v>46092</v>
      </c>
      <c r="H87" s="79" t="n"/>
      <c r="I87" s="118" t="n"/>
    </row>
    <row r="88">
      <c r="A88" s="236" t="inlineStr">
        <is>
          <t>O Campo Uniano</t>
        </is>
      </c>
      <c r="B88" s="79" t="n">
        <v>1</v>
      </c>
      <c r="C88" s="68" t="n">
        <v>130</v>
      </c>
      <c r="D88" s="110">
        <f>B88*C88</f>
        <v/>
      </c>
      <c r="E88" s="117" t="n"/>
      <c r="F88" s="110">
        <f>D88+E88</f>
        <v/>
      </c>
      <c r="G88" s="70" t="n">
        <v>46092</v>
      </c>
      <c r="H88" s="79" t="n"/>
      <c r="I88" s="118" t="n"/>
    </row>
    <row r="89">
      <c r="A89" s="236" t="inlineStr">
        <is>
          <t>Envelhecer</t>
        </is>
      </c>
      <c r="B89" s="79" t="n">
        <v>1</v>
      </c>
      <c r="C89" s="68" t="n">
        <v>100</v>
      </c>
      <c r="D89" s="110">
        <f>B89*C89</f>
        <v/>
      </c>
      <c r="E89" s="117" t="n"/>
      <c r="F89" s="110">
        <f>D89+E89</f>
        <v/>
      </c>
      <c r="G89" s="70" t="n">
        <v>46092</v>
      </c>
      <c r="H89" s="79" t="n"/>
      <c r="I89" s="118" t="n"/>
    </row>
    <row r="90">
      <c r="A90" s="200" t="inlineStr">
        <is>
          <t>Intervenciones Analícas em la perspectiva del NO-TODO</t>
        </is>
      </c>
      <c r="B90" s="79" t="n">
        <v>1</v>
      </c>
      <c r="C90" s="68" t="n">
        <v>100</v>
      </c>
      <c r="D90" s="110">
        <f>B90*C90</f>
        <v/>
      </c>
      <c r="E90" s="117" t="n"/>
      <c r="F90" s="110">
        <f>D90+E90</f>
        <v/>
      </c>
      <c r="G90" s="70" t="n">
        <v>46092</v>
      </c>
      <c r="H90" s="79" t="n"/>
      <c r="I90" s="118" t="n"/>
    </row>
    <row r="91">
      <c r="A91" s="236" t="inlineStr">
        <is>
          <t>Envelhecer</t>
        </is>
      </c>
      <c r="B91" s="79" t="n">
        <v>1</v>
      </c>
      <c r="C91" s="68" t="n">
        <v>100</v>
      </c>
      <c r="D91" s="110">
        <f>B91*C91</f>
        <v/>
      </c>
      <c r="E91" s="117" t="n"/>
      <c r="F91" s="110">
        <f>D91+E91</f>
        <v/>
      </c>
      <c r="G91" s="70" t="n">
        <v>46092</v>
      </c>
      <c r="H91" s="79" t="n"/>
      <c r="I91" s="118" t="n"/>
    </row>
    <row r="92">
      <c r="A92" s="236" t="inlineStr">
        <is>
          <t>A comida e o inconsciente</t>
        </is>
      </c>
      <c r="B92" s="79" t="n">
        <v>1</v>
      </c>
      <c r="C92" s="68" t="n">
        <v>105</v>
      </c>
      <c r="D92" s="110">
        <f>B92*C92</f>
        <v/>
      </c>
      <c r="E92" s="117" t="n"/>
      <c r="F92" s="110">
        <f>D92+E92</f>
        <v/>
      </c>
      <c r="G92" s="70" t="n">
        <v>11</v>
      </c>
      <c r="H92" s="79" t="n"/>
      <c r="I92" s="118" t="n"/>
    </row>
    <row r="93">
      <c r="A93" s="139" t="inlineStr">
        <is>
          <t>Apostila encadenada pela EBP - Textos</t>
        </is>
      </c>
      <c r="B93" s="79" t="n">
        <v>1</v>
      </c>
      <c r="C93" s="68" t="n">
        <v>40</v>
      </c>
      <c r="D93" s="110">
        <f>B93*C93</f>
        <v/>
      </c>
      <c r="E93" s="76" t="n"/>
      <c r="F93" s="110">
        <f>D93+E93</f>
        <v/>
      </c>
      <c r="G93" s="70" t="n">
        <v>46092</v>
      </c>
      <c r="H93" s="79" t="n"/>
      <c r="I93" s="118" t="n"/>
    </row>
    <row r="94">
      <c r="A94" s="139" t="inlineStr">
        <is>
          <t>O que é ser homem</t>
        </is>
      </c>
      <c r="B94" s="79" t="n">
        <v>1</v>
      </c>
      <c r="C94" s="68" t="n">
        <v>70</v>
      </c>
      <c r="D94" s="110">
        <f>B94*C94</f>
        <v/>
      </c>
      <c r="E94" s="76" t="n">
        <v>92</v>
      </c>
      <c r="F94" s="110">
        <f>D94+E94</f>
        <v/>
      </c>
      <c r="G94" s="70" t="n">
        <v>46093</v>
      </c>
      <c r="H94" s="79" t="n"/>
      <c r="I94" s="118" t="n"/>
    </row>
    <row r="95">
      <c r="A95" s="200" t="inlineStr">
        <is>
          <t>O psicótico e o psicanalista</t>
        </is>
      </c>
      <c r="B95" s="79" t="n">
        <v>1</v>
      </c>
      <c r="C95" s="68" t="n">
        <v>70</v>
      </c>
      <c r="D95" s="110">
        <f>B95*C95</f>
        <v/>
      </c>
      <c r="E95" s="76" t="n"/>
      <c r="F95" s="110">
        <f>D95</f>
        <v/>
      </c>
      <c r="G95" s="70" t="n">
        <v>46098</v>
      </c>
      <c r="H95" s="79" t="n"/>
      <c r="I95" s="118" t="n"/>
    </row>
    <row r="96">
      <c r="A96" s="200" t="inlineStr">
        <is>
          <t>Intervenciones Analícas em la perspectiva del NO-TODO</t>
        </is>
      </c>
      <c r="B96" s="79" t="n">
        <v>1</v>
      </c>
      <c r="C96" s="68" t="n">
        <v>100</v>
      </c>
      <c r="D96" s="110">
        <f>B96*C96</f>
        <v/>
      </c>
      <c r="E96" s="76" t="n"/>
      <c r="F96" s="110">
        <f>D96+E96</f>
        <v/>
      </c>
      <c r="G96" s="70" t="n">
        <v>46099</v>
      </c>
      <c r="H96" s="79" t="n"/>
      <c r="I96" s="118" t="n"/>
    </row>
    <row r="97">
      <c r="A97" s="236" t="inlineStr">
        <is>
          <t>A comida e o inconsciente</t>
        </is>
      </c>
      <c r="B97" s="79" t="n">
        <v>1</v>
      </c>
      <c r="C97" s="68" t="n">
        <v>105</v>
      </c>
      <c r="D97" s="110">
        <f>B97*C97</f>
        <v/>
      </c>
      <c r="E97" s="76" t="n"/>
      <c r="F97" s="110">
        <f>D97+E97</f>
        <v/>
      </c>
      <c r="G97" s="70" t="n">
        <v>46099</v>
      </c>
      <c r="H97" s="79" t="n"/>
      <c r="I97" s="118" t="n"/>
    </row>
    <row r="98">
      <c r="A98" s="200" t="inlineStr">
        <is>
          <t>O psicótico e o psicanalista</t>
        </is>
      </c>
      <c r="B98" s="79" t="n">
        <v>1</v>
      </c>
      <c r="C98" s="68" t="n">
        <v>70</v>
      </c>
      <c r="D98" s="110">
        <f>B98*C98</f>
        <v/>
      </c>
      <c r="E98" s="117" t="n"/>
      <c r="F98" s="110">
        <f>D98+E98</f>
        <v/>
      </c>
      <c r="G98" s="70" t="n">
        <v>46099</v>
      </c>
      <c r="H98" s="79" t="n"/>
      <c r="I98" s="118" t="n"/>
    </row>
    <row r="99">
      <c r="A99" s="200" t="inlineStr">
        <is>
          <t>O psicótico e o psicanalista</t>
        </is>
      </c>
      <c r="B99" s="79" t="n">
        <v>1</v>
      </c>
      <c r="C99" s="68" t="n">
        <v>70</v>
      </c>
      <c r="D99" s="110">
        <f>B99*C99</f>
        <v/>
      </c>
      <c r="E99" s="117" t="n"/>
      <c r="F99" s="110">
        <f>D99+E99</f>
        <v/>
      </c>
      <c r="G99" s="70" t="inlineStr">
        <is>
          <t>1803/2026</t>
        </is>
      </c>
      <c r="H99" s="79" t="n"/>
      <c r="I99" s="118" t="n"/>
    </row>
    <row r="100">
      <c r="A100" s="200" t="inlineStr">
        <is>
          <t>O psicótico e o psicanalista</t>
        </is>
      </c>
      <c r="B100" s="79" t="n">
        <v>1</v>
      </c>
      <c r="C100" s="68" t="n">
        <v>70</v>
      </c>
      <c r="D100" s="110">
        <f>B100*C100</f>
        <v/>
      </c>
      <c r="E100" s="117" t="n"/>
      <c r="F100" s="110">
        <f>D100+E100</f>
        <v/>
      </c>
      <c r="G100" s="70" t="n">
        <v>46099</v>
      </c>
      <c r="H100" s="79" t="n"/>
      <c r="I100" s="118" t="n"/>
    </row>
    <row r="101">
      <c r="A101" s="200" t="inlineStr">
        <is>
          <t>O psicótico e o psicanalista</t>
        </is>
      </c>
      <c r="B101" s="79" t="n">
        <v>1</v>
      </c>
      <c r="C101" s="68" t="n">
        <v>70</v>
      </c>
      <c r="D101" s="110">
        <f>B101*C101</f>
        <v/>
      </c>
      <c r="E101" s="76" t="n"/>
      <c r="F101" s="110">
        <f>D101+E101</f>
        <v/>
      </c>
      <c r="G101" s="70" t="n">
        <v>46099</v>
      </c>
      <c r="H101" s="79" t="n"/>
      <c r="I101" s="118" t="n"/>
    </row>
    <row r="102">
      <c r="A102" s="200" t="inlineStr">
        <is>
          <t>O psicótico e o psicanalista</t>
        </is>
      </c>
      <c r="B102" s="79" t="n">
        <v>1</v>
      </c>
      <c r="C102" s="68" t="n">
        <v>70</v>
      </c>
      <c r="D102" s="110">
        <f>B102*C102</f>
        <v/>
      </c>
      <c r="E102" s="76" t="n"/>
      <c r="F102" s="110">
        <f>D102+E102</f>
        <v/>
      </c>
      <c r="G102" s="70" t="n">
        <v>46099</v>
      </c>
      <c r="H102" s="79" t="n"/>
      <c r="I102" s="118" t="n"/>
    </row>
    <row r="103">
      <c r="A103" s="236" t="inlineStr">
        <is>
          <t>Envelhecer</t>
        </is>
      </c>
      <c r="B103" s="79" t="n">
        <v>1</v>
      </c>
      <c r="C103" s="68" t="n">
        <v>100</v>
      </c>
      <c r="D103" s="110">
        <f>B103*C103</f>
        <v/>
      </c>
      <c r="E103" s="117" t="n"/>
      <c r="F103" s="110">
        <f>D103+E103</f>
        <v/>
      </c>
      <c r="G103" s="70" t="n">
        <v>46099</v>
      </c>
      <c r="H103" s="79" t="n"/>
      <c r="I103" s="118" t="n"/>
    </row>
    <row r="104">
      <c r="A104" s="200" t="inlineStr">
        <is>
          <t>O psicótico e o psicanalista</t>
        </is>
      </c>
      <c r="B104" s="79" t="n">
        <v>1</v>
      </c>
      <c r="C104" s="68" t="n">
        <v>70</v>
      </c>
      <c r="D104" s="110">
        <f>B104*C104</f>
        <v/>
      </c>
      <c r="E104" s="76" t="n"/>
      <c r="F104" s="110">
        <f>D104+E104</f>
        <v/>
      </c>
      <c r="G104" s="70" t="n">
        <v>46099</v>
      </c>
      <c r="H104" s="79" t="n"/>
      <c r="I104" s="118" t="n"/>
    </row>
    <row r="105">
      <c r="A105" s="236" t="inlineStr">
        <is>
          <t>Envelhecer</t>
        </is>
      </c>
      <c r="B105" s="79" t="n">
        <v>1</v>
      </c>
      <c r="C105" s="68" t="n">
        <v>100</v>
      </c>
      <c r="D105" s="110">
        <f>B105*C105</f>
        <v/>
      </c>
      <c r="E105" s="76" t="n"/>
      <c r="F105" s="110">
        <f>D105+E105</f>
        <v/>
      </c>
      <c r="G105" s="70" t="n">
        <v>46100</v>
      </c>
      <c r="H105" s="79" t="n"/>
      <c r="I105" s="118" t="n"/>
    </row>
    <row r="106">
      <c r="A106" s="200" t="inlineStr">
        <is>
          <t>O psicótico e o psicanalista</t>
        </is>
      </c>
      <c r="B106" s="79" t="n">
        <v>1</v>
      </c>
      <c r="C106" s="171" t="inlineStr">
        <is>
          <t>DOAÇÃO</t>
        </is>
      </c>
      <c r="D106" s="110" t="n"/>
      <c r="E106" s="76" t="n"/>
      <c r="F106" s="110">
        <f>D106+E106</f>
        <v/>
      </c>
      <c r="G106" s="70" t="n">
        <v>46100</v>
      </c>
      <c r="H106" s="79" t="n"/>
      <c r="I106" s="118" t="n"/>
    </row>
    <row r="107">
      <c r="A107" s="200" t="inlineStr">
        <is>
          <t>O psicótico e o psicanalista</t>
        </is>
      </c>
      <c r="B107" s="79" t="n">
        <v>1</v>
      </c>
      <c r="C107" s="68" t="n">
        <v>70</v>
      </c>
      <c r="D107" s="110">
        <f>B107*C107</f>
        <v/>
      </c>
      <c r="E107" s="76" t="n"/>
      <c r="F107" s="110">
        <f>D107+E107</f>
        <v/>
      </c>
      <c r="G107" s="70" t="n">
        <v>46100</v>
      </c>
      <c r="H107" s="79" t="n"/>
      <c r="I107" s="118" t="n"/>
    </row>
    <row r="108">
      <c r="A108" s="236" t="inlineStr">
        <is>
          <t>Fundamento do Errado</t>
        </is>
      </c>
      <c r="B108" s="79" t="n">
        <v>1</v>
      </c>
      <c r="C108" s="68" t="n">
        <v>119</v>
      </c>
      <c r="D108" s="110">
        <f>B108*C108</f>
        <v/>
      </c>
      <c r="E108" s="76" t="n"/>
      <c r="F108" s="110">
        <f>D108+E108</f>
        <v/>
      </c>
      <c r="G108" s="70" t="n">
        <v>46100</v>
      </c>
      <c r="H108" s="79" t="n"/>
      <c r="I108" s="118" t="n"/>
    </row>
    <row r="109">
      <c r="A109" s="200" t="inlineStr">
        <is>
          <t>O psicótico e o psicanalista</t>
        </is>
      </c>
      <c r="B109" s="79" t="n">
        <v>1</v>
      </c>
      <c r="C109" s="68" t="n">
        <v>70</v>
      </c>
      <c r="D109" s="110">
        <f>B109*C109</f>
        <v/>
      </c>
      <c r="E109" s="76" t="n"/>
      <c r="F109" s="110">
        <f>D109+E109</f>
        <v/>
      </c>
      <c r="G109" s="70" t="n">
        <v>46100</v>
      </c>
      <c r="H109" s="79" t="n"/>
      <c r="I109" s="118" t="n"/>
    </row>
    <row r="110">
      <c r="A110" s="236" t="inlineStr">
        <is>
          <t>Las Entrevistas Preliminares ( Mônica Hage o valor terá que ser repassado para ela)</t>
        </is>
      </c>
      <c r="B110" s="79" t="n">
        <v>1</v>
      </c>
      <c r="C110" s="68" t="n">
        <v>130</v>
      </c>
      <c r="D110" s="110">
        <f>B110*C110</f>
        <v/>
      </c>
      <c r="E110" s="76" t="n"/>
      <c r="F110" s="110">
        <f>D110+E110</f>
        <v/>
      </c>
      <c r="G110" s="70" t="n">
        <v>46100</v>
      </c>
      <c r="H110" s="79" t="n"/>
      <c r="I110" s="118" t="n"/>
    </row>
    <row r="111">
      <c r="A111" s="236" t="inlineStr">
        <is>
          <t>O campo uniano</t>
        </is>
      </c>
      <c r="B111" s="79" t="n">
        <v>1</v>
      </c>
      <c r="C111" s="68" t="n">
        <v>130</v>
      </c>
      <c r="D111" s="110">
        <f>B111*C111</f>
        <v/>
      </c>
      <c r="E111" s="76" t="n"/>
      <c r="F111" s="110">
        <f>D111+E111</f>
        <v/>
      </c>
      <c r="G111" s="70" t="n">
        <v>46101</v>
      </c>
      <c r="H111" s="79" t="n"/>
      <c r="I111" s="118" t="n"/>
    </row>
    <row r="112">
      <c r="A112" s="236" t="inlineStr">
        <is>
          <t>A comida e o inconsciente</t>
        </is>
      </c>
      <c r="B112" s="79" t="n">
        <v>1</v>
      </c>
      <c r="C112" s="68" t="n">
        <v>105</v>
      </c>
      <c r="D112" s="110">
        <f>B112*C112</f>
        <v/>
      </c>
      <c r="E112" s="117" t="n"/>
      <c r="F112" s="110">
        <f>D112+E112</f>
        <v/>
      </c>
      <c r="G112" s="70" t="n">
        <v>46101</v>
      </c>
      <c r="H112" s="79" t="n"/>
      <c r="I112" s="118" t="n"/>
    </row>
    <row r="113">
      <c r="A113" s="200" t="inlineStr">
        <is>
          <t>IPB - Seminários | Nieves Soria Dafunchio | Clinica da Sexuação | Inibição, sintoma e angustia</t>
        </is>
      </c>
      <c r="B113" s="79" t="n">
        <v>1</v>
      </c>
      <c r="C113" s="68" t="n">
        <v>20</v>
      </c>
      <c r="D113" s="110">
        <f>B113*C113</f>
        <v/>
      </c>
      <c r="E113" s="117" t="n"/>
      <c r="F113" s="110">
        <f>D113+E113</f>
        <v/>
      </c>
      <c r="G113" s="70" t="n">
        <v>46101</v>
      </c>
      <c r="H113" s="79" t="n"/>
      <c r="I113" s="118" t="n"/>
    </row>
    <row r="114">
      <c r="A114" s="200" t="inlineStr">
        <is>
          <t>O psicótico e o psicanalista</t>
        </is>
      </c>
      <c r="B114" s="79" t="n">
        <v>1</v>
      </c>
      <c r="C114" s="68" t="n">
        <v>70</v>
      </c>
      <c r="D114" s="110">
        <f>B114*C114</f>
        <v/>
      </c>
      <c r="E114" s="117" t="n"/>
      <c r="F114" s="110">
        <f>D114+E114</f>
        <v/>
      </c>
      <c r="G114" s="70" t="n">
        <v>46104</v>
      </c>
      <c r="H114" s="79" t="n"/>
      <c r="I114" s="118" t="n"/>
    </row>
    <row r="115">
      <c r="A115" s="200" t="inlineStr">
        <is>
          <t>O psicótico e o psicanalista</t>
        </is>
      </c>
      <c r="B115" s="79" t="n">
        <v>1</v>
      </c>
      <c r="C115" s="68" t="n">
        <v>70</v>
      </c>
      <c r="D115" s="110">
        <f>B115*C115</f>
        <v/>
      </c>
      <c r="E115" s="117" t="n"/>
      <c r="F115" s="110">
        <f>D115+E115</f>
        <v/>
      </c>
      <c r="G115" s="70" t="n">
        <v>46104</v>
      </c>
      <c r="H115" s="79" t="n"/>
      <c r="I115" s="118" t="n"/>
    </row>
    <row r="116">
      <c r="A116" s="236" t="inlineStr">
        <is>
          <t>Envelhecer</t>
        </is>
      </c>
      <c r="B116" s="79" t="n">
        <v>1</v>
      </c>
      <c r="C116" s="68" t="n">
        <v>100</v>
      </c>
      <c r="D116" s="110">
        <f>B116*C116</f>
        <v/>
      </c>
      <c r="E116" s="117" t="n"/>
      <c r="F116" s="110">
        <f>D116+E116</f>
        <v/>
      </c>
      <c r="G116" s="70" t="n">
        <v>46104</v>
      </c>
      <c r="H116" s="79" t="n"/>
      <c r="I116" s="118" t="n"/>
    </row>
    <row r="117">
      <c r="A117" s="236" t="inlineStr">
        <is>
          <t>A comida e o inconsciente</t>
        </is>
      </c>
      <c r="B117" s="79" t="n">
        <v>1</v>
      </c>
      <c r="C117" s="68" t="n">
        <v>105</v>
      </c>
      <c r="D117" s="110">
        <f>B117*C117</f>
        <v/>
      </c>
      <c r="E117" s="76" t="n"/>
      <c r="F117" s="110">
        <f>D117+E117</f>
        <v/>
      </c>
      <c r="G117" s="70" t="n">
        <v>46106</v>
      </c>
      <c r="H117" s="79" t="n"/>
      <c r="I117" s="118" t="n"/>
    </row>
    <row r="118">
      <c r="A118" s="200" t="inlineStr">
        <is>
          <t>O psicótico e o psicanalista</t>
        </is>
      </c>
      <c r="B118" s="79" t="n">
        <v>1</v>
      </c>
      <c r="C118" s="68" t="n">
        <v>70</v>
      </c>
      <c r="D118" s="110">
        <f>B118*C118</f>
        <v/>
      </c>
      <c r="E118" s="76" t="n"/>
      <c r="F118" s="110">
        <f>D118+E118</f>
        <v/>
      </c>
      <c r="G118" s="70" t="n">
        <v>46106</v>
      </c>
      <c r="H118" s="79" t="n"/>
      <c r="I118" s="118" t="n"/>
    </row>
    <row r="119">
      <c r="A119" s="200" t="inlineStr">
        <is>
          <t>Intervenciones Analícas em la perspectiva del NO-TODO</t>
        </is>
      </c>
      <c r="B119" s="79" t="n">
        <v>1</v>
      </c>
      <c r="C119" s="68" t="n">
        <v>100</v>
      </c>
      <c r="D119" s="110">
        <f>B119*C119</f>
        <v/>
      </c>
      <c r="E119" s="76" t="n"/>
      <c r="F119" s="110">
        <f>D119+E119</f>
        <v/>
      </c>
      <c r="G119" s="70" t="n">
        <v>46106</v>
      </c>
      <c r="H119" s="79" t="n"/>
      <c r="I119" s="118" t="n"/>
    </row>
    <row r="120">
      <c r="A120" s="200" t="inlineStr">
        <is>
          <t>O psicótico e o psicanalista</t>
        </is>
      </c>
      <c r="B120" s="79" t="n">
        <v>1</v>
      </c>
      <c r="C120" s="68" t="n">
        <v>70</v>
      </c>
      <c r="D120" s="110">
        <f>B120*C120</f>
        <v/>
      </c>
      <c r="E120" s="76" t="n">
        <v>92</v>
      </c>
      <c r="F120" s="110">
        <f>D120+E120</f>
        <v/>
      </c>
      <c r="G120" s="70" t="n">
        <v>46106</v>
      </c>
      <c r="H120" s="79" t="n"/>
      <c r="I120" s="118" t="n"/>
    </row>
    <row r="121">
      <c r="A121" s="200" t="inlineStr">
        <is>
          <t>IPB - Seminários | Nieves Soria Dafunchio | Clinica da Sexuação | Inibição, sintoma e angustia</t>
        </is>
      </c>
      <c r="B121" s="79" t="n">
        <v>1</v>
      </c>
      <c r="C121" s="68" t="n">
        <v>20</v>
      </c>
      <c r="D121" s="110">
        <f>B121*C121</f>
        <v/>
      </c>
      <c r="E121" s="76" t="n"/>
      <c r="F121" s="110">
        <f>D121+E121</f>
        <v/>
      </c>
      <c r="G121" s="70" t="n">
        <v>46107</v>
      </c>
      <c r="H121" s="79" t="n"/>
      <c r="I121" s="118" t="n"/>
    </row>
    <row r="122">
      <c r="A122" s="200" t="inlineStr">
        <is>
          <t>O psicótico e o psicanalista</t>
        </is>
      </c>
      <c r="B122" s="79" t="n">
        <v>1</v>
      </c>
      <c r="C122" s="68" t="n">
        <v>70</v>
      </c>
      <c r="D122" s="110">
        <f>B122*C122</f>
        <v/>
      </c>
      <c r="E122" s="76" t="n">
        <v>39</v>
      </c>
      <c r="F122" s="110">
        <f>D122+E122</f>
        <v/>
      </c>
      <c r="G122" s="70" t="inlineStr">
        <is>
          <t>27/03/202</t>
        </is>
      </c>
      <c r="H122" s="79" t="n"/>
      <c r="I122" s="118" t="n"/>
    </row>
    <row r="123">
      <c r="A123" s="200" t="inlineStr">
        <is>
          <t>O psicótico e o psicanalista</t>
        </is>
      </c>
      <c r="B123" s="79" t="n">
        <v>1</v>
      </c>
      <c r="C123" s="68" t="n">
        <v>70</v>
      </c>
      <c r="D123" s="110">
        <f>B123*C123</f>
        <v/>
      </c>
      <c r="E123" s="76" t="n"/>
      <c r="F123" s="110">
        <f>D123+E123</f>
        <v/>
      </c>
      <c r="G123" s="83" t="n">
        <v>46108</v>
      </c>
      <c r="H123" s="93" t="n"/>
      <c r="I123" s="118" t="n"/>
    </row>
    <row r="124">
      <c r="A124" s="200" t="inlineStr">
        <is>
          <t>O psicótico e o psicanalista</t>
        </is>
      </c>
      <c r="B124" s="79" t="n">
        <v>1</v>
      </c>
      <c r="C124" s="68" t="n">
        <v>70</v>
      </c>
      <c r="D124" s="110">
        <f>B124*C124</f>
        <v/>
      </c>
      <c r="E124" s="76" t="n"/>
      <c r="F124" s="110">
        <f>D124+E124</f>
        <v/>
      </c>
      <c r="G124" s="83" t="n">
        <v>46108</v>
      </c>
      <c r="H124" s="93" t="n"/>
      <c r="I124" s="209" t="n"/>
    </row>
    <row r="125">
      <c r="A125" s="236" t="inlineStr">
        <is>
          <t>Agente 19</t>
        </is>
      </c>
      <c r="B125" s="79" t="n">
        <v>1</v>
      </c>
      <c r="C125" s="68" t="n">
        <v>50</v>
      </c>
      <c r="D125" s="110">
        <f>B125*C125</f>
        <v/>
      </c>
      <c r="E125" s="90" t="n"/>
      <c r="F125" s="110">
        <f>D125+E125</f>
        <v/>
      </c>
      <c r="G125" s="91" t="n">
        <v>46108</v>
      </c>
      <c r="H125" s="93" t="n"/>
      <c r="I125" s="209" t="n"/>
    </row>
    <row r="126">
      <c r="A126" s="236" t="inlineStr">
        <is>
          <t>A comida e o inconsciente</t>
        </is>
      </c>
      <c r="B126" s="79" t="n">
        <v>1</v>
      </c>
      <c r="C126" s="68" t="n">
        <v>105</v>
      </c>
      <c r="D126" s="110">
        <f>B126*C126</f>
        <v/>
      </c>
      <c r="E126" s="76" t="n"/>
      <c r="F126" s="110">
        <f>D126+E126</f>
        <v/>
      </c>
      <c r="G126" s="83" t="n">
        <v>46111</v>
      </c>
      <c r="H126" s="93" t="n"/>
      <c r="I126" s="209" t="n"/>
    </row>
    <row r="127">
      <c r="A127" s="200" t="inlineStr">
        <is>
          <t>O psicótico e o psicanalista</t>
        </is>
      </c>
      <c r="B127" s="79" t="n">
        <v>1</v>
      </c>
      <c r="C127" s="68" t="n">
        <v>70</v>
      </c>
      <c r="D127" s="110">
        <f>B127*C127</f>
        <v/>
      </c>
      <c r="E127" s="76" t="n"/>
      <c r="F127" s="110">
        <f>D127+E127</f>
        <v/>
      </c>
      <c r="G127" s="83" t="n">
        <v>46111</v>
      </c>
      <c r="H127" s="93" t="n"/>
      <c r="I127" s="209" t="n"/>
    </row>
    <row r="128">
      <c r="A128" s="236" t="inlineStr">
        <is>
          <t>A Neurose Histérica na Atualidade</t>
        </is>
      </c>
      <c r="B128" s="79" t="n">
        <v>1</v>
      </c>
      <c r="C128" s="68" t="n">
        <v>90</v>
      </c>
      <c r="D128" s="110">
        <f>B128*C128</f>
        <v/>
      </c>
      <c r="E128" s="76" t="n"/>
      <c r="F128" s="110">
        <f>D128+E128</f>
        <v/>
      </c>
      <c r="G128" s="70" t="inlineStr">
        <is>
          <t>30/30/2026</t>
        </is>
      </c>
      <c r="H128" s="79" t="n"/>
      <c r="I128" s="209" t="n"/>
    </row>
    <row r="129">
      <c r="A129" s="236" t="inlineStr">
        <is>
          <t>Três Segundos com Lacan</t>
        </is>
      </c>
      <c r="B129" s="79" t="n">
        <v>1</v>
      </c>
      <c r="C129" s="171" t="inlineStr">
        <is>
          <t>DOAÇÃO</t>
        </is>
      </c>
      <c r="D129" s="110" t="n"/>
      <c r="E129" s="76" t="n"/>
      <c r="F129" s="110">
        <f>D129+E129</f>
        <v/>
      </c>
      <c r="G129" s="70" t="n"/>
      <c r="H129" s="79" t="n"/>
      <c r="I129" s="209" t="n"/>
    </row>
    <row r="130">
      <c r="A130" s="200" t="inlineStr">
        <is>
          <t>O que é ser Homem   - Consignado</t>
        </is>
      </c>
      <c r="B130" s="79" t="n">
        <v>1</v>
      </c>
      <c r="C130" s="68" t="n">
        <v>70</v>
      </c>
      <c r="D130" s="110">
        <f>B130*C130</f>
        <v/>
      </c>
      <c r="E130" s="76" t="n">
        <v>42</v>
      </c>
      <c r="F130" s="110">
        <f>D130+E130</f>
        <v/>
      </c>
      <c r="G130" s="70" t="n">
        <v>46113</v>
      </c>
      <c r="H130" s="79" t="n"/>
      <c r="I130" s="209" t="n"/>
    </row>
    <row r="131">
      <c r="A131" s="200" t="inlineStr">
        <is>
          <t>O psicótico e o psicanalista</t>
        </is>
      </c>
      <c r="B131" s="79" t="n">
        <v>1</v>
      </c>
      <c r="C131" s="68" t="n">
        <v>70</v>
      </c>
      <c r="D131" s="110">
        <f>B131*C131</f>
        <v/>
      </c>
      <c r="E131" s="76" t="n"/>
      <c r="F131" s="110">
        <f>D131+E131</f>
        <v/>
      </c>
      <c r="G131" s="70" t="n">
        <v>46113</v>
      </c>
      <c r="H131" s="79" t="n"/>
      <c r="I131" s="209" t="n"/>
    </row>
    <row r="132">
      <c r="A132" s="200" t="inlineStr">
        <is>
          <t>O psicótico e o psicanalista</t>
        </is>
      </c>
      <c r="B132" s="79" t="n">
        <v>1</v>
      </c>
      <c r="C132" s="68" t="n">
        <v>70</v>
      </c>
      <c r="D132" s="110">
        <f>B132*C132</f>
        <v/>
      </c>
      <c r="E132" s="76" t="n"/>
      <c r="F132" s="110">
        <f>D132+E132</f>
        <v/>
      </c>
      <c r="G132" s="70" t="n">
        <v>46113</v>
      </c>
      <c r="H132" s="79" t="n"/>
      <c r="I132" s="209" t="n"/>
    </row>
    <row r="133">
      <c r="A133" s="236" t="inlineStr">
        <is>
          <t>A comida e o inconsciente</t>
        </is>
      </c>
      <c r="B133" s="79" t="n">
        <v>1</v>
      </c>
      <c r="C133" s="68" t="n">
        <v>105</v>
      </c>
      <c r="D133" s="110">
        <f>B133*C133</f>
        <v/>
      </c>
      <c r="E133" s="117" t="n"/>
      <c r="F133" s="110">
        <f>D133+E133</f>
        <v/>
      </c>
      <c r="G133" s="70" t="n">
        <v>46113</v>
      </c>
      <c r="H133" s="79" t="n"/>
      <c r="I133" s="209" t="n"/>
    </row>
    <row r="134">
      <c r="A134" s="236" t="inlineStr">
        <is>
          <t>O que é ser homem</t>
        </is>
      </c>
      <c r="B134" s="79" t="n">
        <v>1</v>
      </c>
      <c r="C134" s="68" t="n">
        <v>70</v>
      </c>
      <c r="D134" s="110">
        <f>B134*C134</f>
        <v/>
      </c>
      <c r="E134" s="117" t="n"/>
      <c r="F134" s="110">
        <f>D134+E134</f>
        <v/>
      </c>
      <c r="G134" s="70" t="n">
        <v>46113</v>
      </c>
      <c r="H134" s="79" t="n"/>
      <c r="I134" s="209" t="n"/>
    </row>
    <row r="135">
      <c r="A135" s="236" t="inlineStr">
        <is>
          <t>Envelhecer</t>
        </is>
      </c>
      <c r="B135" s="79" t="n">
        <v>1</v>
      </c>
      <c r="C135" s="68" t="n">
        <v>100</v>
      </c>
      <c r="D135" s="110">
        <f>B135*C135</f>
        <v/>
      </c>
      <c r="E135" s="117" t="n"/>
      <c r="F135" s="110">
        <f>D135+E135</f>
        <v/>
      </c>
      <c r="G135" s="70" t="n">
        <v>46120</v>
      </c>
      <c r="H135" s="79" t="n"/>
      <c r="I135" s="118" t="n"/>
    </row>
    <row r="136">
      <c r="A136" s="236" t="inlineStr">
        <is>
          <t>Três Segundos com Lacan</t>
        </is>
      </c>
      <c r="B136" s="79" t="n">
        <v>1</v>
      </c>
      <c r="C136" s="68" t="n">
        <v>100</v>
      </c>
      <c r="D136" s="110">
        <f>B136*C136</f>
        <v/>
      </c>
      <c r="E136" s="117" t="n"/>
      <c r="F136" s="110">
        <f>D136+E136</f>
        <v/>
      </c>
      <c r="G136" s="70" t="n">
        <v>46122</v>
      </c>
      <c r="H136" s="79" t="n"/>
      <c r="I136" s="118" t="n"/>
    </row>
    <row r="137">
      <c r="A137" s="236" t="inlineStr">
        <is>
          <t>Três Segundos com Lacan</t>
        </is>
      </c>
      <c r="B137" s="79" t="n">
        <v>1</v>
      </c>
      <c r="C137" s="269" t="inlineStr">
        <is>
          <t>COM DEFEITO</t>
        </is>
      </c>
      <c r="D137" s="110">
        <f>B137*C137</f>
        <v/>
      </c>
      <c r="E137" s="117" t="n"/>
      <c r="F137" s="110">
        <f>D137+E137</f>
        <v/>
      </c>
      <c r="G137" s="70" t="inlineStr">
        <is>
          <t>10/04//2026</t>
        </is>
      </c>
      <c r="H137" s="79" t="n"/>
      <c r="I137" s="118" t="n"/>
    </row>
    <row r="138">
      <c r="A138" s="236" t="inlineStr">
        <is>
          <t>Pauxões do Parlêtre</t>
        </is>
      </c>
      <c r="B138" s="79" t="n">
        <v>1</v>
      </c>
      <c r="C138" s="269" t="inlineStr">
        <is>
          <t>COM DEFEIRO</t>
        </is>
      </c>
      <c r="D138" s="110">
        <f>B138*C138</f>
        <v/>
      </c>
      <c r="E138" s="117" t="n"/>
      <c r="F138" s="110">
        <f>D138+E138</f>
        <v/>
      </c>
      <c r="G138" s="70" t="n">
        <v>46122</v>
      </c>
      <c r="H138" s="79" t="n"/>
      <c r="I138" s="118" t="n"/>
    </row>
    <row r="139">
      <c r="A139" s="236" t="inlineStr">
        <is>
          <t>Envelhecer</t>
        </is>
      </c>
      <c r="B139" s="79" t="n">
        <v>1</v>
      </c>
      <c r="C139" s="269" t="inlineStr">
        <is>
          <t>COM DEFEITO</t>
        </is>
      </c>
      <c r="D139" s="110">
        <f>B139*C139</f>
        <v/>
      </c>
      <c r="E139" s="117" t="n"/>
      <c r="F139" s="110">
        <f>D139+E139</f>
        <v/>
      </c>
      <c r="G139" s="70" t="n">
        <v>46122</v>
      </c>
      <c r="H139" s="79" t="n"/>
      <c r="I139" s="118" t="n"/>
    </row>
    <row r="140">
      <c r="A140" s="236" t="inlineStr">
        <is>
          <t>O que é ser homem</t>
        </is>
      </c>
      <c r="B140" s="79" t="n">
        <v>1</v>
      </c>
      <c r="C140" s="68" t="n">
        <v>70</v>
      </c>
      <c r="D140" s="110">
        <f>B140*C140</f>
        <v/>
      </c>
      <c r="E140" s="117" t="n"/>
      <c r="F140" s="110">
        <f>D140+E140</f>
        <v/>
      </c>
      <c r="G140" s="70" t="n">
        <v>46127</v>
      </c>
      <c r="H140" s="79" t="n"/>
      <c r="I140" s="118" t="n"/>
    </row>
    <row r="141">
      <c r="A141" s="236" t="inlineStr">
        <is>
          <t>Envelhecer</t>
        </is>
      </c>
      <c r="B141" s="79" t="n">
        <v>2</v>
      </c>
      <c r="C141" s="68" t="n">
        <v>100</v>
      </c>
      <c r="D141" s="110">
        <f>B141*C141</f>
        <v/>
      </c>
      <c r="E141" s="117" t="n"/>
      <c r="F141" s="110">
        <f>D141+E141</f>
        <v/>
      </c>
      <c r="G141" s="70" t="n">
        <v>46128</v>
      </c>
      <c r="H141" s="79" t="n"/>
      <c r="I141" s="118" t="n"/>
    </row>
    <row r="142">
      <c r="A142" s="236" t="inlineStr">
        <is>
          <t>El límite del órgano y su más allá</t>
        </is>
      </c>
      <c r="B142" s="79" t="n">
        <v>1</v>
      </c>
      <c r="C142" s="171" t="inlineStr">
        <is>
          <t>DOAÇÃO</t>
        </is>
      </c>
      <c r="D142" s="110">
        <f>B142*C142</f>
        <v/>
      </c>
      <c r="E142" s="117" t="n"/>
      <c r="F142" s="110">
        <f>D142+E142</f>
        <v/>
      </c>
      <c r="G142" s="70" t="n">
        <v>46129</v>
      </c>
      <c r="H142" s="79" t="n"/>
      <c r="I142" s="118" t="n"/>
    </row>
    <row r="143">
      <c r="A143" s="236" t="inlineStr">
        <is>
          <t>O Campo Uniano</t>
        </is>
      </c>
      <c r="B143" s="79" t="n">
        <v>1</v>
      </c>
      <c r="C143" s="68" t="n">
        <v>130</v>
      </c>
      <c r="D143" s="110">
        <f>B143*C143</f>
        <v/>
      </c>
      <c r="E143" s="76" t="n"/>
      <c r="F143" s="110">
        <f>D143+E143</f>
        <v/>
      </c>
      <c r="G143" s="70" t="n">
        <v>46129</v>
      </c>
      <c r="H143" s="79" t="n"/>
      <c r="I143" s="118" t="n"/>
    </row>
    <row r="144" ht="15.75" customHeight="1" s="317">
      <c r="A144" s="236" t="inlineStr">
        <is>
          <t>O Campo uniano</t>
        </is>
      </c>
      <c r="B144" s="79" t="n">
        <v>1</v>
      </c>
      <c r="C144" s="68" t="n">
        <v>130</v>
      </c>
      <c r="D144" s="110">
        <f>B144*C144</f>
        <v/>
      </c>
      <c r="E144" s="117" t="n"/>
      <c r="F144" s="110">
        <f>D144+E144</f>
        <v/>
      </c>
      <c r="G144" s="70" t="n">
        <v>46129</v>
      </c>
      <c r="H144" s="79" t="n"/>
      <c r="I144" s="118" t="n"/>
    </row>
    <row r="145">
      <c r="A145" s="236" t="inlineStr">
        <is>
          <t>Revista Agente</t>
        </is>
      </c>
      <c r="B145" s="79" t="n">
        <v>1</v>
      </c>
      <c r="C145" s="68" t="n">
        <v>20</v>
      </c>
      <c r="D145" s="110">
        <f>B145*C145</f>
        <v/>
      </c>
      <c r="E145" s="76" t="n"/>
      <c r="F145" s="110">
        <f>D145+E145</f>
        <v/>
      </c>
      <c r="G145" s="83" t="n">
        <v>46129</v>
      </c>
      <c r="H145" s="79" t="n"/>
      <c r="I145" s="118" t="n"/>
    </row>
    <row r="146">
      <c r="A146" s="200" t="inlineStr">
        <is>
          <t>Intervenciones Analícas em la perspectiva del NO-TODO</t>
        </is>
      </c>
      <c r="B146" s="165" t="n">
        <v>1</v>
      </c>
      <c r="C146" s="68" t="n">
        <v>100</v>
      </c>
      <c r="D146" s="110">
        <f>B146*C146</f>
        <v/>
      </c>
      <c r="E146" s="76" t="n"/>
      <c r="F146" s="110">
        <f>D146+E146</f>
        <v/>
      </c>
      <c r="G146" s="83" t="n">
        <v>45399</v>
      </c>
      <c r="H146" s="79" t="n"/>
      <c r="I146" s="118" t="n"/>
    </row>
    <row r="147">
      <c r="A147" s="236" t="inlineStr">
        <is>
          <t>A comida e o inconsciente</t>
        </is>
      </c>
      <c r="B147" s="165" t="n">
        <v>1</v>
      </c>
      <c r="C147" s="68" t="n">
        <v>105</v>
      </c>
      <c r="D147" s="110">
        <f>B147*C147</f>
        <v/>
      </c>
      <c r="E147" s="76" t="n"/>
      <c r="F147" s="110">
        <f>D147+E147</f>
        <v/>
      </c>
      <c r="G147" s="83" t="n">
        <v>46132</v>
      </c>
      <c r="H147" s="79" t="n"/>
      <c r="I147" s="118" t="n"/>
    </row>
    <row r="148">
      <c r="A148" s="236" t="inlineStr">
        <is>
          <t>Envelhecer</t>
        </is>
      </c>
      <c r="B148" s="165" t="n">
        <v>1</v>
      </c>
      <c r="C148" s="68" t="n">
        <v>100</v>
      </c>
      <c r="D148" s="110">
        <f>B148*C148</f>
        <v/>
      </c>
      <c r="E148" s="76" t="n"/>
      <c r="F148" s="110">
        <f>D148+E148</f>
        <v/>
      </c>
      <c r="G148" s="83" t="n">
        <v>46132</v>
      </c>
      <c r="H148" s="79" t="n"/>
      <c r="I148" s="118" t="n"/>
    </row>
    <row r="149">
      <c r="A149" s="236" t="inlineStr">
        <is>
          <t>Envelhecer</t>
        </is>
      </c>
      <c r="B149" s="165" t="n">
        <v>1</v>
      </c>
      <c r="C149" s="68" t="n">
        <v>100</v>
      </c>
      <c r="D149" s="110">
        <f>B149*C149</f>
        <v/>
      </c>
      <c r="E149" s="76" t="n"/>
      <c r="F149" s="110">
        <f>D149+E149</f>
        <v/>
      </c>
      <c r="G149" s="83" t="n">
        <v>46132</v>
      </c>
      <c r="H149" s="79" t="n"/>
      <c r="I149" s="118" t="n"/>
    </row>
    <row r="150">
      <c r="A150" s="236" t="inlineStr">
        <is>
          <t>O Barco Sexual</t>
        </is>
      </c>
      <c r="B150" s="165" t="n">
        <v>5</v>
      </c>
      <c r="C150" s="171" t="inlineStr">
        <is>
          <t>DOAÇÃO</t>
        </is>
      </c>
      <c r="D150" s="110">
        <f>B150*C150</f>
        <v/>
      </c>
      <c r="E150" s="90" t="n"/>
      <c r="F150" s="110">
        <f>D150+E150</f>
        <v/>
      </c>
      <c r="G150" s="120" t="inlineStr">
        <is>
          <t>22/04-/2026</t>
        </is>
      </c>
      <c r="H150" s="121" t="n"/>
      <c r="I150" s="154" t="n"/>
    </row>
    <row r="151">
      <c r="A151" s="200" t="inlineStr">
        <is>
          <t>Uma brújula para leer los síntomas contemporáneo  Freud y Lacan</t>
        </is>
      </c>
      <c r="B151" s="165" t="n">
        <v>1</v>
      </c>
      <c r="C151" s="171" t="inlineStr">
        <is>
          <t>DOAÇÃO</t>
        </is>
      </c>
      <c r="D151" s="110">
        <f>B151*C151</f>
        <v/>
      </c>
      <c r="E151" s="88" t="n"/>
      <c r="F151" s="110">
        <f>D151+E151</f>
        <v/>
      </c>
      <c r="G151" s="83" t="n">
        <v>46134</v>
      </c>
      <c r="H151" s="86" t="n"/>
      <c r="I151" s="136" t="n"/>
    </row>
    <row r="152">
      <c r="A152" s="201" t="inlineStr">
        <is>
          <t>Construcciones sobre lo imposible</t>
        </is>
      </c>
      <c r="B152" s="165" t="n">
        <v>1</v>
      </c>
      <c r="C152" s="171" t="inlineStr">
        <is>
          <t>DOAÇÃO</t>
        </is>
      </c>
      <c r="D152" s="110">
        <f>B152*C152</f>
        <v/>
      </c>
      <c r="E152" s="76" t="n"/>
      <c r="F152" s="110">
        <f>D152+E152</f>
        <v/>
      </c>
      <c r="G152" s="83" t="n">
        <v>46134</v>
      </c>
      <c r="H152" s="79" t="n"/>
      <c r="I152" s="136" t="n"/>
    </row>
    <row r="153">
      <c r="A153" s="200" t="inlineStr">
        <is>
          <t>Pais e psicanalistas pensam o autismo         Consignado</t>
        </is>
      </c>
      <c r="B153" s="165" t="n">
        <v>1</v>
      </c>
      <c r="C153" s="68" t="n">
        <v>70</v>
      </c>
      <c r="D153" s="110">
        <f>B153*C153</f>
        <v/>
      </c>
      <c r="E153" s="76" t="n"/>
      <c r="F153" s="110">
        <f>D153+E153</f>
        <v/>
      </c>
      <c r="G153" s="83" t="n">
        <v>46134</v>
      </c>
      <c r="H153" s="79" t="n"/>
      <c r="I153" s="118" t="n"/>
    </row>
    <row r="154">
      <c r="A154" s="201" t="inlineStr">
        <is>
          <t>Construcciones sobre lo imposible</t>
        </is>
      </c>
      <c r="B154" s="165" t="n">
        <v>1</v>
      </c>
      <c r="C154" s="68" t="n">
        <v>95</v>
      </c>
      <c r="D154" s="110">
        <f>B154*C154</f>
        <v/>
      </c>
      <c r="E154" s="90" t="n"/>
      <c r="F154" s="110">
        <f>D154+E154</f>
        <v/>
      </c>
      <c r="G154" s="83" t="n">
        <v>46134</v>
      </c>
      <c r="H154" s="93" t="n"/>
      <c r="I154" s="125" t="n"/>
    </row>
    <row r="155">
      <c r="A155" s="201" t="inlineStr">
        <is>
          <t>Construcciones sobre lo imposible</t>
        </is>
      </c>
      <c r="B155" s="165" t="n">
        <v>1</v>
      </c>
      <c r="C155" s="68" t="n">
        <v>95</v>
      </c>
      <c r="D155" s="110">
        <f>B155*C155</f>
        <v/>
      </c>
      <c r="E155" s="90" t="n"/>
      <c r="F155" s="110">
        <f>D155+E155</f>
        <v/>
      </c>
      <c r="G155" s="83" t="n">
        <v>46134</v>
      </c>
      <c r="H155" s="93" t="n"/>
      <c r="I155" s="125" t="n"/>
    </row>
    <row r="156">
      <c r="A156" s="236" t="inlineStr">
        <is>
          <t>Una Apuesta por la otredad</t>
        </is>
      </c>
      <c r="B156" s="165" t="n">
        <v>1</v>
      </c>
      <c r="C156" s="270" t="inlineStr">
        <is>
          <t>DOAÇÃO</t>
        </is>
      </c>
      <c r="D156" s="110">
        <f>B156*C156</f>
        <v/>
      </c>
      <c r="E156" s="76" t="n"/>
      <c r="F156" s="110">
        <f>D156+E156</f>
        <v/>
      </c>
      <c r="G156" s="83" t="n">
        <v>46136</v>
      </c>
      <c r="H156" s="79" t="n"/>
      <c r="I156" s="118" t="n"/>
    </row>
    <row r="157">
      <c r="A157" s="201" t="inlineStr">
        <is>
          <t>Construcciones sobre lo imposible</t>
        </is>
      </c>
      <c r="B157" s="165" t="n">
        <v>1</v>
      </c>
      <c r="C157" s="187" t="n">
        <v>95</v>
      </c>
      <c r="D157" s="110">
        <f>B157*C157</f>
        <v/>
      </c>
      <c r="E157" s="76" t="n"/>
      <c r="F157" s="110">
        <f>D157+E157</f>
        <v/>
      </c>
      <c r="G157" s="83" t="n">
        <v>46136</v>
      </c>
      <c r="H157" s="79" t="n"/>
      <c r="I157" s="152" t="n"/>
    </row>
    <row r="158">
      <c r="A158" s="200" t="inlineStr">
        <is>
          <t>Una brújula para leer los síntomas contemporáneo  Freud y Lacan</t>
        </is>
      </c>
      <c r="B158" s="165" t="n">
        <v>1</v>
      </c>
      <c r="C158" s="68" t="n">
        <v>103</v>
      </c>
      <c r="D158" s="110">
        <f>B158*C158</f>
        <v/>
      </c>
      <c r="E158" s="76" t="n"/>
      <c r="F158" s="110">
        <f>D158+E158</f>
        <v/>
      </c>
      <c r="G158" s="83" t="n">
        <v>46136</v>
      </c>
      <c r="H158" s="79" t="n"/>
      <c r="I158" s="118" t="n"/>
    </row>
    <row r="159">
      <c r="A159" s="201" t="inlineStr">
        <is>
          <t>El límite del órgano y su más allá  /  Prólogo de Éric Laurent</t>
        </is>
      </c>
      <c r="B159" s="165" t="n">
        <v>1</v>
      </c>
      <c r="C159" s="68" t="n">
        <v>133</v>
      </c>
      <c r="D159" s="110">
        <f>B159*C159</f>
        <v/>
      </c>
      <c r="E159" s="90" t="n"/>
      <c r="F159" s="110">
        <f>D159+E159</f>
        <v/>
      </c>
      <c r="G159" s="83" t="n">
        <v>46136</v>
      </c>
      <c r="H159" s="93" t="n"/>
      <c r="I159" s="118" t="n"/>
    </row>
    <row r="160">
      <c r="A160" s="200" t="inlineStr">
        <is>
          <t xml:space="preserve">O Campo Uniano </t>
        </is>
      </c>
      <c r="B160" s="165" t="n">
        <v>1</v>
      </c>
      <c r="C160" s="68" t="n">
        <v>130</v>
      </c>
      <c r="D160" s="110">
        <f>B160*C160</f>
        <v/>
      </c>
      <c r="E160" s="76" t="n"/>
      <c r="F160" s="110">
        <f>D160+E160</f>
        <v/>
      </c>
      <c r="G160" s="83" t="n">
        <v>46136</v>
      </c>
      <c r="H160" s="79" t="n"/>
      <c r="I160" s="118" t="n"/>
    </row>
    <row r="161">
      <c r="A161" s="201" t="inlineStr">
        <is>
          <t>El límite del órgano y su más allá  /  Prólogo de Éric Laurent</t>
        </is>
      </c>
      <c r="B161" s="165" t="n">
        <v>1</v>
      </c>
      <c r="C161" s="68" t="n">
        <v>133</v>
      </c>
      <c r="D161" s="110">
        <f>B161*C161</f>
        <v/>
      </c>
      <c r="E161" s="76" t="n"/>
      <c r="F161" s="110">
        <f>D161+E161</f>
        <v/>
      </c>
      <c r="G161" s="83" t="n">
        <v>46136</v>
      </c>
      <c r="H161" s="79" t="n"/>
      <c r="I161" s="118" t="n"/>
    </row>
    <row r="162">
      <c r="A162" s="201" t="inlineStr">
        <is>
          <t>A comida e o inconsciente</t>
        </is>
      </c>
      <c r="B162" s="165" t="n">
        <v>1</v>
      </c>
      <c r="C162" s="68" t="n">
        <v>105</v>
      </c>
      <c r="D162" s="110">
        <f>B162*C162</f>
        <v/>
      </c>
      <c r="E162" s="76" t="n"/>
      <c r="F162" s="110">
        <f>D162+E162</f>
        <v/>
      </c>
      <c r="G162" s="83" t="n">
        <v>46139</v>
      </c>
      <c r="H162" s="79" t="n"/>
      <c r="I162" s="118" t="n"/>
    </row>
    <row r="163">
      <c r="A163" s="200" t="inlineStr">
        <is>
          <t>IPB - Seminários | Nieves Soria Dafunchio | Clinica da Sexuação | Inibição, sintoma e angustia</t>
        </is>
      </c>
      <c r="B163" s="165" t="n">
        <v>1</v>
      </c>
      <c r="C163" s="68" t="n">
        <v>20</v>
      </c>
      <c r="D163" s="110">
        <f>B163*C163</f>
        <v/>
      </c>
      <c r="E163" s="76" t="n"/>
      <c r="F163" s="110">
        <f>D163+E163</f>
        <v/>
      </c>
      <c r="G163" s="70" t="n">
        <v>46140</v>
      </c>
      <c r="H163" s="79" t="n"/>
      <c r="I163" s="118" t="n"/>
    </row>
    <row r="164">
      <c r="A164" s="236" t="inlineStr">
        <is>
          <t>Una Apuesta por la otredad</t>
        </is>
      </c>
      <c r="B164" s="165" t="n">
        <v>1</v>
      </c>
      <c r="C164" s="68" t="n">
        <v>70</v>
      </c>
      <c r="D164" s="110">
        <f>B164*C164</f>
        <v/>
      </c>
      <c r="E164" s="76" t="n"/>
      <c r="F164" s="110">
        <f>D164+E164</f>
        <v/>
      </c>
      <c r="G164" s="70" t="n">
        <v>46140</v>
      </c>
      <c r="H164" s="79" t="n"/>
      <c r="I164" s="118" t="n"/>
    </row>
    <row r="165">
      <c r="A165" s="200" t="inlineStr">
        <is>
          <t>Una brújula para leer los síntomas contemporáneo  Freud y Lacan</t>
        </is>
      </c>
      <c r="B165" s="165" t="n">
        <v>1</v>
      </c>
      <c r="C165" s="68" t="n">
        <v>105</v>
      </c>
      <c r="D165" s="110">
        <f>B165*C165</f>
        <v/>
      </c>
      <c r="E165" s="76" t="n"/>
      <c r="F165" s="110">
        <f>D165+E165</f>
        <v/>
      </c>
      <c r="G165" s="70" t="n">
        <v>46140</v>
      </c>
      <c r="H165" s="79" t="n"/>
      <c r="I165" s="118" t="n"/>
    </row>
    <row r="166">
      <c r="A166" s="236" t="inlineStr">
        <is>
          <t>O Seminário 15 - O ato analítico</t>
        </is>
      </c>
      <c r="B166" s="165" t="n">
        <v>1</v>
      </c>
      <c r="C166" s="171" t="inlineStr">
        <is>
          <t>DOAÇÃO</t>
        </is>
      </c>
      <c r="D166" s="110">
        <f>B166*C166</f>
        <v/>
      </c>
      <c r="E166" s="76" t="n"/>
      <c r="F166" s="110" t="n"/>
      <c r="G166" s="70" t="n">
        <v>46146</v>
      </c>
      <c r="H166" s="79" t="n"/>
      <c r="I166" s="118" t="n"/>
    </row>
    <row r="167">
      <c r="A167" s="200" t="inlineStr">
        <is>
          <t>IPB - Seminários | Nieves Soria Dafunchio | Clinica da Sexuação | Inibição, sintoma e angustia</t>
        </is>
      </c>
      <c r="B167" s="165" t="n">
        <v>1</v>
      </c>
      <c r="C167" s="68" t="n">
        <v>20</v>
      </c>
      <c r="D167" s="110">
        <f>B167*C167</f>
        <v/>
      </c>
      <c r="E167" s="117" t="n"/>
      <c r="F167" s="110">
        <f>D167+E167</f>
        <v/>
      </c>
      <c r="G167" s="70" t="n">
        <v>47237</v>
      </c>
      <c r="H167" s="79" t="n"/>
      <c r="I167" s="118" t="n"/>
    </row>
    <row r="168">
      <c r="A168" s="200" t="inlineStr">
        <is>
          <t>O psicótico e o psicanalista</t>
        </is>
      </c>
      <c r="B168" s="165" t="n">
        <v>1</v>
      </c>
      <c r="C168" s="68" t="n">
        <v>70</v>
      </c>
      <c r="D168" s="110">
        <f>B168*C168</f>
        <v/>
      </c>
      <c r="E168" s="117" t="n"/>
      <c r="F168" s="110" t="n">
        <v>42</v>
      </c>
      <c r="G168" s="70" t="n">
        <v>42489</v>
      </c>
      <c r="H168" s="79" t="n"/>
      <c r="I168" s="118" t="n"/>
    </row>
    <row r="169">
      <c r="A169" s="200" t="inlineStr">
        <is>
          <t xml:space="preserve">O Campo Uniano - O último ensino de Lacan e suas consequências </t>
        </is>
      </c>
      <c r="B169" s="165" t="n">
        <v>1</v>
      </c>
      <c r="C169" s="68" t="n">
        <v>130</v>
      </c>
      <c r="D169" s="110">
        <f>B169*C169</f>
        <v/>
      </c>
      <c r="E169" s="76" t="n">
        <v>15</v>
      </c>
      <c r="F169" s="110">
        <f>D169+E169</f>
        <v/>
      </c>
      <c r="G169" s="70" t="n">
        <v>46141</v>
      </c>
      <c r="H169" s="79" t="n"/>
      <c r="I169" s="118" t="n"/>
    </row>
    <row r="170">
      <c r="A170" s="236" t="inlineStr">
        <is>
          <t>O que é ser homem?</t>
        </is>
      </c>
      <c r="B170" s="165" t="n">
        <v>1</v>
      </c>
      <c r="C170" s="68" t="n">
        <v>70</v>
      </c>
      <c r="D170" s="110">
        <f>B170*C170</f>
        <v/>
      </c>
      <c r="E170" s="90" t="n">
        <v>15</v>
      </c>
      <c r="F170" s="110">
        <f>D170+E170</f>
        <v/>
      </c>
      <c r="G170" s="195" t="n">
        <v>46146</v>
      </c>
      <c r="H170" s="165" t="n"/>
      <c r="I170" s="118" t="n"/>
    </row>
    <row r="171">
      <c r="A171" s="200" t="inlineStr">
        <is>
          <t>O Seminário - Livro 15  - Ato Analítico</t>
        </is>
      </c>
      <c r="B171" s="165" t="n">
        <v>1</v>
      </c>
      <c r="C171" s="68" t="n">
        <v>150</v>
      </c>
      <c r="D171" s="110">
        <f>B171*C171</f>
        <v/>
      </c>
      <c r="E171" s="76" t="n"/>
      <c r="F171" s="110">
        <f>D171+E171</f>
        <v/>
      </c>
      <c r="G171" s="70" t="n">
        <v>46146</v>
      </c>
      <c r="H171" s="236" t="n"/>
      <c r="I171" s="118" t="n"/>
    </row>
    <row r="172">
      <c r="A172" s="200" t="inlineStr">
        <is>
          <t>IPB - Seminários | Nieves Soria Dafunchio | Clinica da Sexuação | Inibição, sintoma e angustia</t>
        </is>
      </c>
      <c r="B172" s="165" t="n">
        <v>2</v>
      </c>
      <c r="C172" s="68" t="n">
        <v>20</v>
      </c>
      <c r="D172" s="110">
        <f>B172*C172</f>
        <v/>
      </c>
      <c r="E172" s="76" t="n">
        <v>30</v>
      </c>
      <c r="F172" s="110">
        <f>D172+E172</f>
        <v/>
      </c>
      <c r="G172" s="195" t="n">
        <v>46148</v>
      </c>
      <c r="H172" s="236" t="n"/>
      <c r="I172" s="118" t="n"/>
    </row>
    <row r="173">
      <c r="A173" s="200" t="inlineStr">
        <is>
          <t>Entre o cair e o despertar</t>
        </is>
      </c>
      <c r="B173" s="165" t="n">
        <v>1</v>
      </c>
      <c r="C173" s="171" t="inlineStr">
        <is>
          <t>DOAÇÃO</t>
        </is>
      </c>
      <c r="D173" s="110">
        <f>B173*C173</f>
        <v/>
      </c>
      <c r="E173" s="76" t="n"/>
      <c r="F173" s="110">
        <f>D173+E173</f>
        <v/>
      </c>
      <c r="G173" s="70" t="n">
        <v>46148</v>
      </c>
      <c r="H173" s="236" t="n"/>
      <c r="I173" s="118" t="n"/>
    </row>
    <row r="174">
      <c r="A174" s="201" t="inlineStr">
        <is>
          <t>Clínica do Excesso</t>
        </is>
      </c>
      <c r="B174" s="165" t="n">
        <v>1</v>
      </c>
      <c r="C174" s="68" t="n">
        <v>120</v>
      </c>
      <c r="D174" s="110">
        <f>B174*C174</f>
        <v/>
      </c>
      <c r="E174" s="76" t="n"/>
      <c r="F174" s="110">
        <f>D174+E174</f>
        <v/>
      </c>
      <c r="G174" s="195" t="inlineStr">
        <is>
          <t>06/052026</t>
        </is>
      </c>
      <c r="H174" s="236" t="n"/>
      <c r="I174" s="118" t="n"/>
    </row>
    <row r="175">
      <c r="A175" s="200" t="inlineStr">
        <is>
          <t>O psicótico e o psicanalista</t>
        </is>
      </c>
      <c r="B175" s="165" t="n">
        <v>1</v>
      </c>
      <c r="C175" s="68" t="n">
        <v>70</v>
      </c>
      <c r="D175" s="110">
        <f>B175*C175</f>
        <v/>
      </c>
      <c r="E175" s="90" t="n"/>
      <c r="F175" s="110">
        <f>D175+E175</f>
        <v/>
      </c>
      <c r="G175" s="70" t="n">
        <v>46148</v>
      </c>
      <c r="H175" s="165" t="n"/>
      <c r="I175" s="118" t="n"/>
    </row>
    <row r="176">
      <c r="A176" s="200" t="inlineStr">
        <is>
          <t>IPB - Seminários | Nieves Soria Dafunchio | Clinica da Sexuação | Inibição, sintoma e angustia</t>
        </is>
      </c>
      <c r="B176" s="165" t="n">
        <v>1</v>
      </c>
      <c r="C176" s="68" t="n">
        <v>20</v>
      </c>
      <c r="D176" s="110">
        <f>B176*C176</f>
        <v/>
      </c>
      <c r="E176" s="76" t="n">
        <v>15</v>
      </c>
      <c r="F176" s="110">
        <f>D176+E176</f>
        <v/>
      </c>
      <c r="G176" s="195" t="n">
        <v>46150</v>
      </c>
      <c r="H176" s="236" t="n"/>
      <c r="I176" s="209" t="n"/>
    </row>
    <row r="177">
      <c r="A177" s="201" t="inlineStr">
        <is>
          <t>Construcciones sobre lo imposible</t>
        </is>
      </c>
      <c r="B177" s="165" t="n">
        <v>1</v>
      </c>
      <c r="C177" s="68" t="n">
        <v>95</v>
      </c>
      <c r="D177" s="110">
        <f>B177*C177</f>
        <v/>
      </c>
      <c r="E177" s="76" t="n"/>
      <c r="F177" s="110">
        <f>D177+E177</f>
        <v/>
      </c>
      <c r="G177" s="70" t="n">
        <v>46153</v>
      </c>
      <c r="H177" s="236" t="n"/>
      <c r="I177" s="118" t="n"/>
    </row>
    <row r="178">
      <c r="A178" s="236" t="inlineStr">
        <is>
          <t>Una Apuesta por la otredad</t>
        </is>
      </c>
      <c r="B178" s="165" t="n">
        <v>1</v>
      </c>
      <c r="C178" s="68" t="n">
        <v>70</v>
      </c>
      <c r="D178" s="110">
        <f>B178*C178</f>
        <v/>
      </c>
      <c r="E178" s="76" t="n"/>
      <c r="F178" s="110">
        <f>D178+E178</f>
        <v/>
      </c>
      <c r="G178" s="195" t="n">
        <v>46153</v>
      </c>
      <c r="H178" s="236" t="n"/>
      <c r="I178" s="118" t="n"/>
    </row>
    <row r="179">
      <c r="A179" s="200" t="inlineStr">
        <is>
          <t>Entre o cair e o despertar</t>
        </is>
      </c>
      <c r="B179" s="165" t="n">
        <v>1</v>
      </c>
      <c r="C179" s="68" t="n">
        <v>80</v>
      </c>
      <c r="D179" s="110">
        <f>B179*C179</f>
        <v/>
      </c>
      <c r="E179" s="90" t="n"/>
      <c r="F179" s="110">
        <f>D179+E179</f>
        <v/>
      </c>
      <c r="G179" s="70" t="n">
        <v>46153</v>
      </c>
      <c r="H179" s="165" t="n"/>
      <c r="I179" s="118" t="n"/>
    </row>
    <row r="180">
      <c r="A180" s="200" t="inlineStr">
        <is>
          <t>Entre o cair e o despertar</t>
        </is>
      </c>
      <c r="B180" s="165" t="n">
        <v>1</v>
      </c>
      <c r="C180" s="68" t="n">
        <v>80</v>
      </c>
      <c r="D180" s="110">
        <f>B180*C180</f>
        <v/>
      </c>
      <c r="E180" s="90" t="n"/>
      <c r="F180" s="110">
        <f>D180+E180</f>
        <v/>
      </c>
      <c r="G180" s="195" t="n">
        <v>46154</v>
      </c>
      <c r="H180" s="165" t="n"/>
      <c r="I180" s="118" t="n"/>
    </row>
    <row r="181">
      <c r="A181" s="201" t="inlineStr">
        <is>
          <t>Construcciones sobre lo imposible</t>
        </is>
      </c>
      <c r="B181" s="165" t="n">
        <v>1</v>
      </c>
      <c r="C181" s="68" t="n">
        <v>95</v>
      </c>
      <c r="D181" s="110">
        <f>B181*C181</f>
        <v/>
      </c>
      <c r="E181" s="90" t="n"/>
      <c r="F181" s="110">
        <f>D181+E181</f>
        <v/>
      </c>
      <c r="G181" s="70" t="n">
        <v>46155</v>
      </c>
      <c r="H181" s="165" t="n"/>
      <c r="I181" s="118" t="n"/>
    </row>
    <row r="182">
      <c r="A182" s="200" t="inlineStr">
        <is>
          <t>Entre o cair e o despertar</t>
        </is>
      </c>
      <c r="B182" s="165" t="n">
        <v>1</v>
      </c>
      <c r="C182" s="68" t="n">
        <v>80</v>
      </c>
      <c r="D182" s="110">
        <f>B182*C182</f>
        <v/>
      </c>
      <c r="E182" s="90" t="n"/>
      <c r="F182" s="110">
        <f>D182+E182</f>
        <v/>
      </c>
      <c r="G182" s="195" t="n">
        <v>46155</v>
      </c>
      <c r="H182" s="165" t="n"/>
      <c r="I182" s="118" t="n"/>
    </row>
    <row r="183" ht="15" customHeight="1" s="317">
      <c r="A183" s="236" t="inlineStr">
        <is>
          <t>Envelhecer</t>
        </is>
      </c>
      <c r="B183" s="165" t="n">
        <v>1</v>
      </c>
      <c r="C183" s="68" t="n">
        <v>100</v>
      </c>
      <c r="D183" s="110">
        <f>B183*C183</f>
        <v/>
      </c>
      <c r="E183" s="90" t="n"/>
      <c r="F183" s="110">
        <f>D183+E183</f>
        <v/>
      </c>
      <c r="G183" s="70" t="n">
        <v>46156</v>
      </c>
      <c r="H183" s="165" t="n"/>
      <c r="I183" s="118" t="n"/>
    </row>
    <row r="184">
      <c r="A184" s="200" t="inlineStr">
        <is>
          <t>Entre o cair e o despertar</t>
        </is>
      </c>
      <c r="B184" s="165" t="n">
        <v>1</v>
      </c>
      <c r="C184" s="68" t="n">
        <v>80</v>
      </c>
      <c r="D184" s="110">
        <f>B184*C184</f>
        <v/>
      </c>
      <c r="E184" s="90" t="n"/>
      <c r="F184" s="110">
        <f>D184+E184</f>
        <v/>
      </c>
      <c r="G184" s="195" t="n">
        <v>46156</v>
      </c>
      <c r="H184" s="165" t="n"/>
      <c r="I184" s="118" t="n"/>
    </row>
    <row r="185">
      <c r="A185" s="201" t="inlineStr">
        <is>
          <t>Envelhecer</t>
        </is>
      </c>
      <c r="B185" s="165" t="n">
        <v>1</v>
      </c>
      <c r="C185" s="68" t="n">
        <v>100</v>
      </c>
      <c r="D185" s="110">
        <f>B185*C185</f>
        <v/>
      </c>
      <c r="E185" s="90" t="n"/>
      <c r="F185" s="110">
        <f>D185+E185</f>
        <v/>
      </c>
      <c r="G185" s="70" t="n">
        <v>46156</v>
      </c>
      <c r="H185" s="165" t="n"/>
      <c r="I185" s="118" t="n"/>
    </row>
    <row r="186">
      <c r="A186" s="236" t="inlineStr">
        <is>
          <t>Clinica do Excesso</t>
        </is>
      </c>
      <c r="B186" s="165" t="n">
        <v>1</v>
      </c>
      <c r="C186" s="68" t="n">
        <v>120</v>
      </c>
      <c r="D186" s="110">
        <f>B186*C186</f>
        <v/>
      </c>
      <c r="E186" s="90" t="n"/>
      <c r="F186" s="110">
        <f>D186+E186</f>
        <v/>
      </c>
      <c r="G186" s="195" t="n">
        <v>46157</v>
      </c>
      <c r="H186" s="165" t="n"/>
      <c r="I186" s="118" t="n"/>
    </row>
    <row r="187">
      <c r="A187" s="236" t="inlineStr">
        <is>
          <t>Clinica do Excesso</t>
        </is>
      </c>
      <c r="B187" s="165" t="n">
        <v>1</v>
      </c>
      <c r="C187" s="68" t="n">
        <v>120</v>
      </c>
      <c r="D187" s="110">
        <f>B187*C187</f>
        <v/>
      </c>
      <c r="E187" s="90" t="n"/>
      <c r="F187" s="110">
        <f>D187+E187</f>
        <v/>
      </c>
      <c r="G187" s="195" t="n">
        <v>46157</v>
      </c>
      <c r="H187" s="165" t="n"/>
      <c r="I187" s="118" t="n"/>
    </row>
    <row r="188">
      <c r="A188" s="200" t="inlineStr">
        <is>
          <t>Intervenciones Analícas em la perspectiva del NO-TODO</t>
        </is>
      </c>
      <c r="B188" s="165" t="n">
        <v>1</v>
      </c>
      <c r="C188" s="68" t="n">
        <v>100</v>
      </c>
      <c r="D188" s="110">
        <f>B188*C188</f>
        <v/>
      </c>
      <c r="E188" s="90" t="n"/>
      <c r="F188" s="110">
        <f>D188+E188</f>
        <v/>
      </c>
      <c r="G188" s="195" t="n">
        <v>46157</v>
      </c>
      <c r="H188" s="165" t="n"/>
      <c r="I188" s="118" t="n"/>
    </row>
    <row r="189">
      <c r="A189" s="200" t="inlineStr">
        <is>
          <t>Una brújula para leer los síntomas contemporáneo  Freud y Lacan</t>
        </is>
      </c>
      <c r="B189" s="165" t="n">
        <v>1</v>
      </c>
      <c r="C189" s="68" t="n">
        <v>105</v>
      </c>
      <c r="D189" s="110">
        <f>B189*C189</f>
        <v/>
      </c>
      <c r="E189" s="90" t="n"/>
      <c r="F189" s="110">
        <f>D189+E189</f>
        <v/>
      </c>
      <c r="G189" s="195" t="n">
        <v>46157</v>
      </c>
      <c r="H189" s="165" t="n"/>
      <c r="I189" s="118" t="n"/>
    </row>
    <row r="190">
      <c r="A190" s="200" t="inlineStr">
        <is>
          <t>Entre o cair e o despertar</t>
        </is>
      </c>
      <c r="B190" s="165" t="n">
        <v>1</v>
      </c>
      <c r="C190" s="68" t="n">
        <v>80</v>
      </c>
      <c r="D190" s="110">
        <f>B190*C190</f>
        <v/>
      </c>
      <c r="E190" s="90" t="n"/>
      <c r="F190" s="110">
        <f>D190+E190</f>
        <v/>
      </c>
      <c r="G190" s="70" t="n">
        <v>46157</v>
      </c>
      <c r="H190" s="165" t="n"/>
      <c r="I190" s="118" t="n"/>
    </row>
    <row r="191">
      <c r="A191" s="236" t="inlineStr">
        <is>
          <t>Agente 16</t>
        </is>
      </c>
      <c r="B191" s="165" t="n">
        <v>1</v>
      </c>
      <c r="C191" s="68" t="n">
        <v>10</v>
      </c>
      <c r="D191" s="110">
        <f>B191*C191</f>
        <v/>
      </c>
      <c r="E191" s="90" t="n"/>
      <c r="F191" s="110">
        <f>D191+E191</f>
        <v/>
      </c>
      <c r="G191" s="195" t="n">
        <v>46160</v>
      </c>
      <c r="H191" s="165" t="n"/>
      <c r="I191" s="118" t="n"/>
    </row>
    <row r="192">
      <c r="A192" s="236" t="inlineStr">
        <is>
          <t>Agente 2006</t>
        </is>
      </c>
      <c r="B192" s="165" t="n">
        <v>1</v>
      </c>
      <c r="C192" s="68" t="n">
        <v>10</v>
      </c>
      <c r="D192" s="110">
        <f>B192*C192</f>
        <v/>
      </c>
      <c r="E192" s="90" t="n"/>
      <c r="F192" s="110">
        <f>D192+E192</f>
        <v/>
      </c>
      <c r="G192" s="70" t="n">
        <v>46160</v>
      </c>
      <c r="H192" s="165" t="n"/>
      <c r="I192" s="118" t="n"/>
    </row>
    <row r="193">
      <c r="A193" s="201" t="inlineStr">
        <is>
          <t>Correio 53 - Os resultados terapêuticos da psicanálise Novas Formas e transferência</t>
        </is>
      </c>
      <c r="B193" s="165" t="n">
        <v>1</v>
      </c>
      <c r="C193" s="68" t="n">
        <v>10</v>
      </c>
      <c r="D193" s="110">
        <f>B193*C193</f>
        <v/>
      </c>
      <c r="E193" s="90" t="n"/>
      <c r="F193" s="110">
        <f>D193+E193</f>
        <v/>
      </c>
      <c r="G193" s="195" t="n">
        <v>46160</v>
      </c>
      <c r="H193" s="165" t="n"/>
      <c r="I193" s="118" t="n"/>
    </row>
    <row r="194">
      <c r="A194" s="201" t="inlineStr">
        <is>
          <t>Correio 55 - Edição comemorativa sesquicentenário Freud</t>
        </is>
      </c>
      <c r="B194" s="165" t="n">
        <v>1</v>
      </c>
      <c r="C194" s="68" t="n">
        <v>10</v>
      </c>
      <c r="D194" s="110">
        <f>B194*C194</f>
        <v/>
      </c>
      <c r="E194" s="76" t="n"/>
      <c r="F194" s="110">
        <f>D194+E194</f>
        <v/>
      </c>
      <c r="G194" s="70" t="n">
        <v>46160</v>
      </c>
      <c r="H194" s="165" t="n"/>
      <c r="I194" s="118" t="n"/>
    </row>
    <row r="195">
      <c r="A195" s="201" t="inlineStr">
        <is>
          <t>A comida e o inconsciente</t>
        </is>
      </c>
      <c r="B195" s="165" t="n">
        <v>1</v>
      </c>
      <c r="C195" s="68" t="n">
        <v>105</v>
      </c>
      <c r="D195" s="110">
        <f>B195*C195</f>
        <v/>
      </c>
      <c r="E195" s="76" t="n"/>
      <c r="F195" s="110">
        <f>D195+E195</f>
        <v/>
      </c>
      <c r="G195" s="70" t="n">
        <v>46160</v>
      </c>
      <c r="H195" s="165" t="n"/>
      <c r="I195" s="112" t="n"/>
    </row>
    <row r="196">
      <c r="A196" s="236" t="inlineStr">
        <is>
          <t>Agente 19</t>
        </is>
      </c>
      <c r="B196" s="165" t="n">
        <v>1</v>
      </c>
      <c r="C196" s="68" t="n">
        <v>50</v>
      </c>
      <c r="D196" s="110">
        <f>B196*C196</f>
        <v/>
      </c>
      <c r="E196" s="76" t="n"/>
      <c r="F196" s="110">
        <f>D196+E196</f>
        <v/>
      </c>
      <c r="G196" s="70" t="n">
        <v>46160</v>
      </c>
      <c r="H196" s="165" t="n"/>
      <c r="I196" s="112" t="n"/>
    </row>
    <row r="197">
      <c r="A197" s="236" t="inlineStr">
        <is>
          <t>Envelhecer</t>
        </is>
      </c>
      <c r="B197" s="165" t="n">
        <v>1</v>
      </c>
      <c r="C197" s="68" t="n">
        <v>100</v>
      </c>
      <c r="D197" s="110">
        <f>B197*C197</f>
        <v/>
      </c>
      <c r="E197" s="76" t="n"/>
      <c r="F197" s="110">
        <f>D197+E197</f>
        <v/>
      </c>
      <c r="G197" s="70" t="n">
        <v>46160</v>
      </c>
      <c r="H197" s="165" t="n"/>
      <c r="I197" s="112" t="n"/>
    </row>
    <row r="198">
      <c r="A198" s="236" t="inlineStr">
        <is>
          <t>Entre o cair e o despertar</t>
        </is>
      </c>
      <c r="B198" s="165" t="n">
        <v>1</v>
      </c>
      <c r="C198" s="68" t="n">
        <v>80</v>
      </c>
      <c r="D198" s="110">
        <f>B198*C198</f>
        <v/>
      </c>
      <c r="E198" s="90" t="n"/>
      <c r="F198" s="110">
        <f>D198+E198</f>
        <v/>
      </c>
      <c r="G198" s="70" t="n">
        <v>46160</v>
      </c>
      <c r="H198" s="165" t="n"/>
      <c r="I198" s="112" t="n"/>
    </row>
    <row r="199">
      <c r="A199" s="200" t="inlineStr">
        <is>
          <t xml:space="preserve">O Barco Sexual  </t>
        </is>
      </c>
      <c r="B199" s="165" t="n">
        <v>1</v>
      </c>
      <c r="C199" s="68" t="n">
        <v>80</v>
      </c>
      <c r="D199" s="110">
        <f>B199*C199</f>
        <v/>
      </c>
      <c r="E199" s="76" t="n"/>
      <c r="F199" s="110">
        <f>D199+E199</f>
        <v/>
      </c>
      <c r="G199" s="195" t="n">
        <v>46160</v>
      </c>
      <c r="H199" s="165" t="n"/>
      <c r="I199" s="112" t="n"/>
    </row>
    <row r="200">
      <c r="A200" s="200" t="inlineStr">
        <is>
          <t>Una brújula para leer los síntomas contemporáneo  Freud y Lacan</t>
        </is>
      </c>
      <c r="B200" s="165" t="n">
        <v>1</v>
      </c>
      <c r="C200" s="68" t="n">
        <v>105</v>
      </c>
      <c r="D200" s="110">
        <f>B200*C200</f>
        <v/>
      </c>
      <c r="E200" s="76" t="n"/>
      <c r="F200" s="110">
        <f>D200+E200</f>
        <v/>
      </c>
      <c r="G200" s="70" t="n">
        <v>46161</v>
      </c>
      <c r="H200" s="165" t="n"/>
      <c r="I200" s="112" t="n"/>
    </row>
    <row r="201">
      <c r="A201" s="200" t="inlineStr">
        <is>
          <t>IPB - Seminários | Nieves Soria Dafunchio | Clinica da Sexuação | Inibição, sintoma e angustia</t>
        </is>
      </c>
      <c r="B201" s="165" t="n">
        <v>1</v>
      </c>
      <c r="C201" s="68" t="n">
        <v>20</v>
      </c>
      <c r="D201" s="110">
        <f>B201*C201</f>
        <v/>
      </c>
      <c r="E201" s="76" t="n">
        <v>15</v>
      </c>
      <c r="F201" s="110">
        <f>D201+E201</f>
        <v/>
      </c>
      <c r="G201" s="195" t="n">
        <v>46161</v>
      </c>
      <c r="H201" s="165" t="n"/>
      <c r="I201" s="112" t="n"/>
    </row>
    <row r="202">
      <c r="A202" s="200" t="inlineStr">
        <is>
          <t>IPB - Seminários | Nieves Soria Dafunchio | Clinica da Sexuação | Inibição, sintoma e angustia</t>
        </is>
      </c>
      <c r="B202" s="165" t="n">
        <v>1</v>
      </c>
      <c r="C202" s="68" t="n">
        <v>30</v>
      </c>
      <c r="D202" s="110">
        <f>B202*C202</f>
        <v/>
      </c>
      <c r="E202" s="76" t="n">
        <v>15</v>
      </c>
      <c r="F202" s="110">
        <f>D202+E202</f>
        <v/>
      </c>
      <c r="G202" s="70" t="n">
        <v>46162</v>
      </c>
      <c r="H202" s="165" t="n"/>
      <c r="I202" s="112" t="n"/>
    </row>
    <row r="203">
      <c r="A203" s="201" t="inlineStr">
        <is>
          <t>Clínica do Excesso</t>
        </is>
      </c>
      <c r="B203" s="165" t="n">
        <v>1</v>
      </c>
      <c r="C203" s="68" t="n">
        <v>120</v>
      </c>
      <c r="D203" s="110">
        <f>B203*C203</f>
        <v/>
      </c>
      <c r="E203" s="90" t="n"/>
      <c r="F203" s="110">
        <f>D203+E203</f>
        <v/>
      </c>
      <c r="G203" s="195" t="n">
        <v>46162</v>
      </c>
      <c r="H203" s="165" t="n"/>
      <c r="I203" s="112" t="n"/>
    </row>
    <row r="204">
      <c r="A204" s="200" t="inlineStr">
        <is>
          <t xml:space="preserve">O Campo Uniano - O último ensino de Lacan e suas consequências </t>
        </is>
      </c>
      <c r="B204" s="165" t="n">
        <v>1</v>
      </c>
      <c r="C204" s="68" t="n">
        <v>130</v>
      </c>
      <c r="D204" s="110">
        <f>B204*C204</f>
        <v/>
      </c>
      <c r="E204" s="90" t="n">
        <v>15</v>
      </c>
      <c r="F204" s="110">
        <f>D204+E204</f>
        <v/>
      </c>
      <c r="G204" s="195" t="n">
        <v>46162</v>
      </c>
      <c r="H204" s="165" t="n"/>
      <c r="I204" s="112" t="n"/>
    </row>
    <row r="205">
      <c r="A205" s="200" t="inlineStr">
        <is>
          <t>O psicótico e o psicanalista</t>
        </is>
      </c>
      <c r="B205" s="165" t="n">
        <v>1</v>
      </c>
      <c r="C205" s="68" t="n">
        <v>70</v>
      </c>
      <c r="D205" s="110">
        <f>B205*C205</f>
        <v/>
      </c>
      <c r="E205" s="271" t="n"/>
      <c r="F205" s="110">
        <f>D205+E205</f>
        <v/>
      </c>
      <c r="G205" s="207" t="n">
        <v>46162</v>
      </c>
      <c r="H205" s="208" t="n"/>
      <c r="I205" s="209" t="n"/>
    </row>
    <row r="206">
      <c r="A206" s="200" t="inlineStr">
        <is>
          <t>Una brújula para leer los síntomas contemporáneo  Freud y Lacan</t>
        </is>
      </c>
      <c r="B206" s="165" t="n">
        <v>1</v>
      </c>
      <c r="C206" s="68" t="n">
        <v>105</v>
      </c>
      <c r="D206" s="110">
        <f>B206*C206</f>
        <v/>
      </c>
      <c r="E206" s="271" t="n"/>
      <c r="F206" s="110">
        <f>D206+E206</f>
        <v/>
      </c>
      <c r="G206" s="207" t="n">
        <v>46162</v>
      </c>
      <c r="H206" s="208" t="n"/>
      <c r="I206" s="209" t="n"/>
    </row>
    <row r="207">
      <c r="A207" s="200" t="inlineStr">
        <is>
          <t>Entre o cair e o despertar</t>
        </is>
      </c>
      <c r="B207" s="165" t="n">
        <v>1</v>
      </c>
      <c r="C207" s="68" t="n">
        <v>80</v>
      </c>
      <c r="D207" s="110">
        <f>B207*C207</f>
        <v/>
      </c>
      <c r="E207" s="271" t="n"/>
      <c r="F207" s="110">
        <f>D207+E207</f>
        <v/>
      </c>
      <c r="G207" s="207" t="n">
        <v>46162</v>
      </c>
      <c r="H207" s="208" t="n"/>
      <c r="I207" s="209" t="n"/>
    </row>
    <row r="208">
      <c r="A208" s="200" t="inlineStr">
        <is>
          <t>Entre o cair e o despertar</t>
        </is>
      </c>
      <c r="B208" s="165" t="n">
        <v>1</v>
      </c>
      <c r="C208" s="68" t="n">
        <v>80</v>
      </c>
      <c r="D208" s="110">
        <f>B208*C208</f>
        <v/>
      </c>
      <c r="E208" s="272" t="n"/>
      <c r="F208" s="110">
        <f>D208+E208</f>
        <v/>
      </c>
      <c r="G208" s="207" t="n">
        <v>46163</v>
      </c>
      <c r="H208" s="273" t="n"/>
      <c r="I208" s="209" t="n"/>
    </row>
    <row r="209">
      <c r="A209" s="201" t="inlineStr">
        <is>
          <t>Construcciones sobre lo imposible</t>
        </is>
      </c>
      <c r="B209" s="165" t="n">
        <v>1</v>
      </c>
      <c r="C209" s="68" t="n">
        <v>95</v>
      </c>
      <c r="D209" s="110">
        <f>B209*C209</f>
        <v/>
      </c>
      <c r="E209" s="271" t="n"/>
      <c r="F209" s="110">
        <f>D209+E209</f>
        <v/>
      </c>
      <c r="G209" s="207" t="n">
        <v>46164</v>
      </c>
      <c r="H209" s="208" t="n"/>
      <c r="I209" s="209" t="n"/>
    </row>
    <row r="210">
      <c r="A210" s="236" t="inlineStr">
        <is>
          <t>Una Apuesta por la otredad</t>
        </is>
      </c>
      <c r="B210" s="165" t="n">
        <v>1</v>
      </c>
      <c r="C210" s="68" t="n">
        <v>70</v>
      </c>
      <c r="D210" s="110">
        <f>B210*C210</f>
        <v/>
      </c>
      <c r="E210" s="271" t="n"/>
      <c r="F210" s="110">
        <f>D210+E210</f>
        <v/>
      </c>
      <c r="G210" s="207" t="n">
        <v>46164</v>
      </c>
      <c r="H210" s="208" t="n"/>
      <c r="I210" s="209" t="n"/>
    </row>
    <row r="211">
      <c r="A211" s="200" t="inlineStr">
        <is>
          <t>Entre o cair e o despertar</t>
        </is>
      </c>
      <c r="B211" s="165" t="n">
        <v>1</v>
      </c>
      <c r="C211" s="68" t="n">
        <v>80</v>
      </c>
      <c r="D211" s="110">
        <f>B211*C211</f>
        <v/>
      </c>
      <c r="E211" s="271" t="n"/>
      <c r="F211" s="110">
        <f>D211+E211</f>
        <v/>
      </c>
      <c r="G211" s="207" t="n">
        <v>46164</v>
      </c>
      <c r="H211" s="208" t="n"/>
      <c r="I211" s="209" t="n"/>
    </row>
    <row r="212">
      <c r="A212" s="200" t="inlineStr">
        <is>
          <t>Entre o cair e o despertar</t>
        </is>
      </c>
      <c r="B212" s="165" t="n">
        <v>1</v>
      </c>
      <c r="C212" s="68" t="n">
        <v>80</v>
      </c>
      <c r="D212" s="110">
        <f>B212*C212</f>
        <v/>
      </c>
      <c r="E212" s="271" t="n"/>
      <c r="F212" s="110">
        <f>D212+E212</f>
        <v/>
      </c>
      <c r="G212" s="207" t="n">
        <v>46167</v>
      </c>
      <c r="H212" s="208" t="n"/>
      <c r="I212" s="209" t="n"/>
    </row>
    <row r="213">
      <c r="A213" s="201" t="inlineStr">
        <is>
          <t>Revista Registros Furia  --Tomo Fuego</t>
        </is>
      </c>
      <c r="B213" s="165" t="n">
        <v>1</v>
      </c>
      <c r="C213" s="68" t="n">
        <v>160</v>
      </c>
      <c r="D213" s="110">
        <f>B213*C213</f>
        <v/>
      </c>
      <c r="E213" s="271" t="n"/>
      <c r="F213" s="110">
        <f>D213+E213</f>
        <v/>
      </c>
      <c r="G213" s="207" t="n">
        <v>46167</v>
      </c>
      <c r="H213" s="208" t="n"/>
      <c r="I213" s="209" t="n"/>
    </row>
    <row r="214">
      <c r="A214" s="201" t="inlineStr">
        <is>
          <t>Revista Registros Furia  --Tomo Fuego</t>
        </is>
      </c>
      <c r="B214" s="165" t="n">
        <v>1</v>
      </c>
      <c r="C214" s="68" t="n">
        <v>160</v>
      </c>
      <c r="D214" s="110">
        <f>B214*C214</f>
        <v/>
      </c>
      <c r="E214" s="274" t="n"/>
      <c r="F214" s="110">
        <f>D214+E214</f>
        <v/>
      </c>
      <c r="G214" s="202" t="n">
        <v>46167</v>
      </c>
      <c r="H214" s="275" t="n"/>
      <c r="I214" s="206" t="n"/>
    </row>
    <row r="215">
      <c r="A215" s="200" t="inlineStr">
        <is>
          <t>Una brújula para leer los síntomas contemporáneo  Freud y Lacan</t>
        </is>
      </c>
      <c r="B215" s="165" t="n">
        <v>1</v>
      </c>
      <c r="C215" s="68" t="n">
        <v>105</v>
      </c>
      <c r="D215" s="110">
        <f>B215*C215</f>
        <v/>
      </c>
      <c r="E215" s="274" t="n"/>
      <c r="F215" s="110">
        <f>D215+E215</f>
        <v/>
      </c>
      <c r="G215" s="202" t="n">
        <v>46167</v>
      </c>
      <c r="H215" s="275" t="n"/>
      <c r="I215" s="206" t="n"/>
    </row>
    <row r="216">
      <c r="A216" s="236" t="inlineStr">
        <is>
          <t>Entre o cair e o despertar</t>
        </is>
      </c>
      <c r="B216" s="165" t="n">
        <v>1</v>
      </c>
      <c r="C216" s="68" t="n">
        <v>80</v>
      </c>
      <c r="D216" s="110">
        <f>B216*C216</f>
        <v/>
      </c>
      <c r="E216" s="272" t="n"/>
      <c r="F216" s="110">
        <f>D216+E216</f>
        <v/>
      </c>
      <c r="G216" s="202" t="n">
        <v>46167</v>
      </c>
      <c r="H216" s="205" t="n"/>
      <c r="I216" s="206" t="n"/>
    </row>
    <row r="217">
      <c r="A217" s="201" t="inlineStr">
        <is>
          <t>Construcciones sobre lo imposible</t>
        </is>
      </c>
      <c r="B217" s="165" t="n">
        <v>1</v>
      </c>
      <c r="C217" s="68" t="n">
        <v>95</v>
      </c>
      <c r="D217" s="110">
        <f>B217*C217</f>
        <v/>
      </c>
      <c r="E217" s="272" t="n"/>
      <c r="F217" s="110">
        <f>D217+E217</f>
        <v/>
      </c>
      <c r="G217" s="202" t="n">
        <v>46168</v>
      </c>
      <c r="H217" s="205" t="n"/>
      <c r="I217" s="206" t="n"/>
    </row>
    <row r="218">
      <c r="A218" s="200" t="inlineStr">
        <is>
          <t>Una brújula para leer los síntomas contemporáneo  Freud y Lacan</t>
        </is>
      </c>
      <c r="B218" s="165" t="n">
        <v>1</v>
      </c>
      <c r="C218" s="68" t="n">
        <v>105</v>
      </c>
      <c r="D218" s="110">
        <f>B218*C218</f>
        <v/>
      </c>
      <c r="E218" s="271" t="n"/>
      <c r="F218" s="110">
        <f>D218+E218</f>
        <v/>
      </c>
      <c r="G218" s="207" t="n">
        <v>46168</v>
      </c>
      <c r="H218" s="208" t="n"/>
      <c r="I218" s="206" t="n"/>
    </row>
    <row r="219">
      <c r="A219" s="201" t="inlineStr">
        <is>
          <t>El límite del órgano y su más allá  /  Prólogo de Éric Laurent</t>
        </is>
      </c>
      <c r="B219" s="165" t="n">
        <v>1</v>
      </c>
      <c r="C219" s="68" t="n">
        <v>133</v>
      </c>
      <c r="D219" s="110">
        <f>B219*C219</f>
        <v/>
      </c>
      <c r="E219" s="271" t="n"/>
      <c r="F219" s="110">
        <f>D219+E219</f>
        <v/>
      </c>
      <c r="G219" s="207" t="n">
        <v>46168</v>
      </c>
      <c r="H219" s="208" t="n"/>
      <c r="I219" s="206" t="n"/>
    </row>
    <row r="220">
      <c r="A220" s="201" t="inlineStr">
        <is>
          <t>Revista Registros Furia  --Tomo Fuego</t>
        </is>
      </c>
      <c r="B220" s="165" t="n">
        <v>1</v>
      </c>
      <c r="C220" s="68" t="n">
        <v>160</v>
      </c>
      <c r="D220" s="110">
        <f>B220*C220</f>
        <v/>
      </c>
      <c r="E220" s="271" t="n"/>
      <c r="F220" s="110">
        <f>D220+E220</f>
        <v/>
      </c>
      <c r="G220" s="207" t="inlineStr">
        <is>
          <t>26//05/2026</t>
        </is>
      </c>
      <c r="H220" s="208" t="n"/>
      <c r="I220" s="209" t="n"/>
    </row>
    <row r="221">
      <c r="A221" s="201" t="inlineStr">
        <is>
          <t>Clínica do Excesso</t>
        </is>
      </c>
      <c r="B221" s="165" t="n">
        <v>1</v>
      </c>
      <c r="C221" s="68" t="n">
        <v>120</v>
      </c>
      <c r="D221" s="110">
        <f>B221*C221</f>
        <v/>
      </c>
      <c r="E221" s="90" t="n"/>
      <c r="F221" s="110">
        <f>D221+E221</f>
        <v/>
      </c>
      <c r="G221" s="190" t="n">
        <v>46169</v>
      </c>
      <c r="H221" s="94" t="n"/>
      <c r="I221" s="118" t="n"/>
    </row>
    <row r="222">
      <c r="A222" s="201" t="inlineStr">
        <is>
          <t>Revista Registros Furia  --Tomo Fuego</t>
        </is>
      </c>
      <c r="B222" s="165" t="n">
        <v>1</v>
      </c>
      <c r="C222" s="68" t="n">
        <v>160</v>
      </c>
      <c r="D222" s="110">
        <f>B222*C222</f>
        <v/>
      </c>
      <c r="E222" s="272" t="n"/>
      <c r="F222" s="110">
        <f>D222+E222</f>
        <v/>
      </c>
      <c r="G222" s="202" t="n">
        <v>46169</v>
      </c>
      <c r="H222" s="205" t="n"/>
      <c r="I222" s="206" t="n"/>
    </row>
    <row r="223">
      <c r="A223" s="201" t="inlineStr">
        <is>
          <t>Los impasses de la feminidad</t>
        </is>
      </c>
      <c r="B223" s="165" t="n">
        <v>1</v>
      </c>
      <c r="C223" s="68" t="n">
        <v>95</v>
      </c>
      <c r="D223" s="110">
        <f>B223*C223</f>
        <v/>
      </c>
      <c r="E223" s="272" t="n"/>
      <c r="F223" s="110">
        <f>D223+E223</f>
        <v/>
      </c>
      <c r="G223" s="202" t="n">
        <v>46169</v>
      </c>
      <c r="H223" s="205" t="n"/>
      <c r="I223" s="206" t="n"/>
    </row>
    <row r="224">
      <c r="A224" s="200" t="inlineStr">
        <is>
          <t>Entre o cair e o despertar</t>
        </is>
      </c>
      <c r="B224" s="165" t="n">
        <v>1</v>
      </c>
      <c r="C224" s="68" t="n">
        <v>80</v>
      </c>
      <c r="D224" s="110">
        <f>B224*C224</f>
        <v/>
      </c>
      <c r="E224" s="272" t="n"/>
      <c r="F224" s="110">
        <f>D224+E224</f>
        <v/>
      </c>
      <c r="G224" s="202" t="n">
        <v>46169</v>
      </c>
      <c r="H224" s="205" t="n"/>
      <c r="I224" s="206" t="n"/>
    </row>
    <row r="225">
      <c r="A225" s="200" t="inlineStr">
        <is>
          <t>Três Segundos com Lacan     ( 50 na EBP - Nacional) (7 com LDM)</t>
        </is>
      </c>
      <c r="B225" s="165" t="n">
        <v>1</v>
      </c>
      <c r="C225" s="68" t="n">
        <v>100</v>
      </c>
      <c r="D225" s="110">
        <f>B225*C225</f>
        <v/>
      </c>
      <c r="E225" s="272" t="n"/>
      <c r="F225" s="110">
        <f>D225+E225</f>
        <v/>
      </c>
      <c r="G225" s="202" t="n">
        <v>46169</v>
      </c>
      <c r="H225" s="205" t="n"/>
      <c r="I225" s="206" t="n"/>
    </row>
    <row r="226">
      <c r="A226" s="200" t="inlineStr">
        <is>
          <t>Entre o cair e o despertar</t>
        </is>
      </c>
      <c r="B226" s="165" t="n">
        <v>1</v>
      </c>
      <c r="C226" s="68" t="n">
        <v>80</v>
      </c>
      <c r="D226" s="110">
        <f>B226*C226</f>
        <v/>
      </c>
      <c r="E226" s="272" t="n"/>
      <c r="F226" s="110">
        <f>D226+E226</f>
        <v/>
      </c>
      <c r="G226" s="202" t="n">
        <v>46169</v>
      </c>
      <c r="H226" s="205" t="n"/>
      <c r="I226" s="206" t="n"/>
    </row>
    <row r="227">
      <c r="A227" s="200" t="inlineStr">
        <is>
          <t>Entre o cair e o despertar</t>
        </is>
      </c>
      <c r="B227" s="165" t="n">
        <v>1</v>
      </c>
      <c r="C227" s="68" t="n">
        <v>80</v>
      </c>
      <c r="D227" s="110">
        <f>B227*C227</f>
        <v/>
      </c>
      <c r="E227" s="272" t="n"/>
      <c r="F227" s="110">
        <f>D227+E227</f>
        <v/>
      </c>
      <c r="G227" s="202" t="n">
        <v>46169</v>
      </c>
      <c r="H227" s="205" t="n"/>
      <c r="I227" s="206" t="n"/>
    </row>
    <row r="228">
      <c r="A228" s="201" t="inlineStr">
        <is>
          <t>Envelhecer</t>
        </is>
      </c>
      <c r="B228" s="165" t="n">
        <v>1</v>
      </c>
      <c r="C228" s="68" t="n">
        <v>100</v>
      </c>
      <c r="D228" s="110">
        <f>B228*C228</f>
        <v/>
      </c>
      <c r="E228" s="272" t="n"/>
      <c r="F228" s="110">
        <f>D228+E228</f>
        <v/>
      </c>
      <c r="G228" s="202" t="n">
        <v>46170</v>
      </c>
      <c r="H228" s="205" t="n"/>
      <c r="I228" s="206" t="n"/>
    </row>
    <row r="229">
      <c r="A229" s="200" t="inlineStr">
        <is>
          <t>Entre o cair e o despertar</t>
        </is>
      </c>
      <c r="B229" s="165" t="n">
        <v>1</v>
      </c>
      <c r="C229" s="68" t="n">
        <v>80</v>
      </c>
      <c r="D229" s="110">
        <f>B229*C229</f>
        <v/>
      </c>
      <c r="E229" s="271" t="n"/>
      <c r="F229" s="110">
        <f>D229+E229</f>
        <v/>
      </c>
      <c r="G229" s="207" t="n">
        <v>46171</v>
      </c>
      <c r="H229" s="208" t="n"/>
      <c r="I229" s="209" t="n"/>
    </row>
    <row r="230">
      <c r="A230" s="200" t="inlineStr">
        <is>
          <t>Una brújula para leer los síntomas contemporáneo  Freud y Lacan</t>
        </is>
      </c>
      <c r="B230" s="165" t="n">
        <v>1</v>
      </c>
      <c r="C230" s="68" t="n">
        <v>105</v>
      </c>
      <c r="D230" s="110">
        <f>B230*C230</f>
        <v/>
      </c>
      <c r="E230" s="272" t="n"/>
      <c r="F230" s="110">
        <f>D230+E230</f>
        <v/>
      </c>
      <c r="G230" s="202" t="n">
        <v>46171</v>
      </c>
      <c r="H230" s="205" t="n"/>
      <c r="I230" s="209" t="n"/>
    </row>
    <row r="231">
      <c r="A231" s="200" t="inlineStr">
        <is>
          <t>Entre o cair e o despertar</t>
        </is>
      </c>
      <c r="B231" s="165" t="n">
        <v>1</v>
      </c>
      <c r="C231" s="68" t="n">
        <v>80</v>
      </c>
      <c r="D231" s="110">
        <f>B231*C231</f>
        <v/>
      </c>
      <c r="E231" s="271" t="n"/>
      <c r="F231" s="110">
        <f>D231+E231</f>
        <v/>
      </c>
      <c r="G231" s="207" t="n">
        <v>46174</v>
      </c>
      <c r="H231" s="208" t="n"/>
      <c r="I231" s="209" t="n"/>
    </row>
    <row r="232">
      <c r="A232" s="201" t="inlineStr">
        <is>
          <t>A comida e o inconsciente</t>
        </is>
      </c>
      <c r="B232" s="165" t="n">
        <v>1</v>
      </c>
      <c r="C232" s="68" t="n">
        <v>105</v>
      </c>
      <c r="D232" s="110">
        <f>B232*C232</f>
        <v/>
      </c>
      <c r="E232" s="271" t="n"/>
      <c r="F232" s="110">
        <f>D232+E232</f>
        <v/>
      </c>
      <c r="G232" s="207" t="n">
        <v>46176</v>
      </c>
      <c r="H232" s="208" t="n"/>
      <c r="I232" s="276" t="n"/>
    </row>
    <row r="233">
      <c r="A233" s="201" t="inlineStr">
        <is>
          <t>Clínica do Excesso</t>
        </is>
      </c>
      <c r="B233" s="165" t="n">
        <v>1</v>
      </c>
      <c r="C233" s="68" t="n">
        <v>130</v>
      </c>
      <c r="D233" s="110">
        <f>B233*C233</f>
        <v/>
      </c>
      <c r="E233" s="271" t="n"/>
      <c r="F233" s="110">
        <f>D233+E233</f>
        <v/>
      </c>
      <c r="G233" s="207" t="n">
        <v>46183</v>
      </c>
      <c r="H233" s="208" t="n"/>
      <c r="I233" s="208" t="n"/>
    </row>
    <row r="234">
      <c r="A234" s="200" t="inlineStr">
        <is>
          <t>Entre o cair e o despertar</t>
        </is>
      </c>
      <c r="B234" s="165" t="n">
        <v>1</v>
      </c>
      <c r="C234" s="213" t="n">
        <v>80</v>
      </c>
      <c r="D234" s="110">
        <f>B234*C234</f>
        <v/>
      </c>
      <c r="E234" s="271" t="n"/>
      <c r="F234" s="110">
        <f>D234+E234</f>
        <v/>
      </c>
      <c r="G234" s="207" t="n">
        <v>46183</v>
      </c>
      <c r="H234" s="208" t="n"/>
      <c r="I234" s="209" t="n"/>
    </row>
    <row r="235">
      <c r="A235" s="200" t="inlineStr">
        <is>
          <t>Una brújula para leer los síntomas contemporáneo  Freud y Lacan</t>
        </is>
      </c>
      <c r="B235" s="165" t="n">
        <v>1</v>
      </c>
      <c r="C235" s="68" t="n">
        <v>105</v>
      </c>
      <c r="D235" s="110">
        <f>B235*C235</f>
        <v/>
      </c>
      <c r="E235" s="271" t="n"/>
      <c r="F235" s="110">
        <f>D235+E235</f>
        <v/>
      </c>
      <c r="G235" s="207" t="n">
        <v>46183</v>
      </c>
      <c r="H235" s="208" t="n"/>
      <c r="I235" s="209" t="n"/>
    </row>
    <row r="236">
      <c r="A236" s="201" t="inlineStr">
        <is>
          <t>Los impasses de la feminidad</t>
        </is>
      </c>
      <c r="B236" s="165" t="n">
        <v>1</v>
      </c>
      <c r="C236" s="68" t="n">
        <v>95</v>
      </c>
      <c r="D236" s="110">
        <f>B236*C236</f>
        <v/>
      </c>
      <c r="E236" s="272" t="n"/>
      <c r="F236" s="110">
        <f>D236+E236</f>
        <v/>
      </c>
      <c r="G236" s="202" t="n">
        <v>46184</v>
      </c>
      <c r="H236" s="205" t="n"/>
      <c r="I236" s="209" t="n"/>
    </row>
    <row r="237">
      <c r="A237" s="201" t="inlineStr">
        <is>
          <t>Lo femenino, entre centro y ausencia</t>
        </is>
      </c>
      <c r="B237" s="165" t="n">
        <v>1</v>
      </c>
      <c r="C237" s="68" t="n">
        <v>125</v>
      </c>
      <c r="D237" s="110">
        <f>B237*C237</f>
        <v/>
      </c>
      <c r="E237" s="271" t="n"/>
      <c r="F237" s="110">
        <f>D237+E237</f>
        <v/>
      </c>
      <c r="G237" s="207" t="n">
        <v>46184</v>
      </c>
      <c r="H237" s="208" t="n"/>
      <c r="I237" s="209" t="n"/>
    </row>
    <row r="238">
      <c r="A238" s="201" t="inlineStr">
        <is>
          <t>Construcciones sobre lo imposible</t>
        </is>
      </c>
      <c r="B238" s="165" t="n">
        <v>1</v>
      </c>
      <c r="C238" s="68" t="n">
        <v>95</v>
      </c>
      <c r="D238" s="110">
        <f>B238*C238</f>
        <v/>
      </c>
      <c r="E238" s="271" t="n"/>
      <c r="F238" s="110">
        <f>D238+E238</f>
        <v/>
      </c>
      <c r="G238" s="207" t="n">
        <v>46185</v>
      </c>
      <c r="H238" s="208" t="n"/>
      <c r="I238" s="209" t="n"/>
    </row>
    <row r="239">
      <c r="A239" s="200" t="inlineStr">
        <is>
          <t>Una brújula para leer los síntomas contemporáneo  Freud y Lacan</t>
        </is>
      </c>
      <c r="B239" s="165" t="n">
        <v>1</v>
      </c>
      <c r="C239" s="68" t="n">
        <v>105</v>
      </c>
      <c r="D239" s="110">
        <f>B239*C239</f>
        <v/>
      </c>
      <c r="E239" s="271" t="n"/>
      <c r="F239" s="110">
        <f>D239+E239</f>
        <v/>
      </c>
      <c r="G239" s="207" t="n">
        <v>46188</v>
      </c>
      <c r="H239" s="208" t="n"/>
      <c r="I239" s="209" t="n"/>
    </row>
    <row r="240">
      <c r="A240" s="201" t="inlineStr">
        <is>
          <t>Construcciones sobre lo imposible</t>
        </is>
      </c>
      <c r="B240" s="165" t="n">
        <v>1</v>
      </c>
      <c r="C240" s="68" t="n">
        <v>95</v>
      </c>
      <c r="D240" s="110">
        <f>B240*C240</f>
        <v/>
      </c>
      <c r="E240" s="271" t="n"/>
      <c r="F240" s="110">
        <f>D240+E240</f>
        <v/>
      </c>
      <c r="G240" s="207" t="n">
        <v>46188</v>
      </c>
      <c r="H240" s="208" t="n"/>
      <c r="I240" s="209" t="n"/>
    </row>
    <row r="241">
      <c r="A241" s="200" t="inlineStr">
        <is>
          <t>Entre o cair e o despertar</t>
        </is>
      </c>
      <c r="B241" s="165" t="n">
        <v>1</v>
      </c>
      <c r="C241" s="68" t="n">
        <v>80</v>
      </c>
      <c r="D241" s="110">
        <f>B241*C241</f>
        <v/>
      </c>
      <c r="E241" s="271" t="n"/>
      <c r="F241" s="110">
        <f>D241+E241</f>
        <v/>
      </c>
      <c r="G241" s="207" t="n">
        <v>46188</v>
      </c>
      <c r="H241" s="208" t="n"/>
      <c r="I241" s="209" t="n"/>
    </row>
    <row r="242">
      <c r="A242" s="200" t="inlineStr">
        <is>
          <t>Entre o cair e o despertar</t>
        </is>
      </c>
      <c r="B242" s="165" t="n">
        <v>1</v>
      </c>
      <c r="C242" s="68" t="n">
        <v>80</v>
      </c>
      <c r="D242" s="110">
        <f>B242*C242</f>
        <v/>
      </c>
      <c r="E242" s="272" t="n"/>
      <c r="F242" s="110">
        <f>D242+E242</f>
        <v/>
      </c>
      <c r="G242" s="202" t="n">
        <v>46188</v>
      </c>
      <c r="H242" s="205" t="n"/>
      <c r="I242" s="206" t="n"/>
    </row>
    <row r="243">
      <c r="A243" s="201" t="inlineStr">
        <is>
          <t>Envelhecer</t>
        </is>
      </c>
      <c r="B243" s="165" t="n">
        <v>1</v>
      </c>
      <c r="C243" s="68" t="n">
        <v>100</v>
      </c>
      <c r="D243" s="110">
        <f>B243*C243</f>
        <v/>
      </c>
      <c r="E243" s="271" t="n"/>
      <c r="F243" s="110">
        <f>D243+E243</f>
        <v/>
      </c>
      <c r="G243" s="207" t="n">
        <v>46189</v>
      </c>
      <c r="H243" s="208" t="n"/>
      <c r="I243" s="209" t="n"/>
    </row>
    <row r="244">
      <c r="A244" s="201" t="inlineStr">
        <is>
          <t xml:space="preserve">Correio - nº 18/19 - Rumo ao âmago da cura psicanalítica </t>
        </is>
      </c>
      <c r="B244" s="165" t="n">
        <v>1</v>
      </c>
      <c r="C244" s="68" t="n">
        <v>10</v>
      </c>
      <c r="D244" s="110">
        <f>B244*C244</f>
        <v/>
      </c>
      <c r="E244" s="271" t="n"/>
      <c r="F244" s="110">
        <f>D244+E244</f>
        <v/>
      </c>
      <c r="G244" s="207" t="n">
        <v>46189</v>
      </c>
      <c r="H244" s="208" t="n"/>
      <c r="I244" s="209" t="n"/>
    </row>
    <row r="245">
      <c r="A245" s="200" t="inlineStr">
        <is>
          <t>Entre o cair e o despertar</t>
        </is>
      </c>
      <c r="B245" s="165" t="n">
        <v>1</v>
      </c>
      <c r="C245" s="68" t="n">
        <v>80</v>
      </c>
      <c r="D245" s="110">
        <f>B245*C245</f>
        <v/>
      </c>
      <c r="E245" s="271" t="n"/>
      <c r="F245" s="110">
        <f>D245+E245</f>
        <v/>
      </c>
      <c r="G245" s="207" t="n">
        <v>46189</v>
      </c>
      <c r="H245" s="208" t="n"/>
      <c r="I245" s="209" t="n"/>
    </row>
    <row r="246">
      <c r="A246" s="200" t="inlineStr">
        <is>
          <t>Una brújula para leer los síntomas contemporáneo  Freud y Lacan</t>
        </is>
      </c>
      <c r="B246" s="165" t="n">
        <v>1</v>
      </c>
      <c r="C246" s="68" t="n">
        <v>105</v>
      </c>
      <c r="D246" s="110">
        <f>B246*C246</f>
        <v/>
      </c>
      <c r="E246" s="271" t="n"/>
      <c r="F246" s="110">
        <f>D246+E246</f>
        <v/>
      </c>
      <c r="G246" s="207" t="n">
        <v>46190</v>
      </c>
      <c r="H246" s="208" t="n"/>
      <c r="I246" s="209" t="n"/>
    </row>
    <row r="247">
      <c r="A247" s="201" t="inlineStr">
        <is>
          <t>El límite del órgano y su más allá  /  Prólogo de Éric Laurent</t>
        </is>
      </c>
      <c r="B247" s="165" t="n">
        <v>1</v>
      </c>
      <c r="C247" s="68" t="n">
        <v>133</v>
      </c>
      <c r="D247" s="110">
        <f>B247*C247</f>
        <v/>
      </c>
      <c r="E247" s="271" t="n"/>
      <c r="F247" s="110">
        <f>D247+E247</f>
        <v/>
      </c>
      <c r="G247" s="207" t="inlineStr">
        <is>
          <t>17/06/026</t>
        </is>
      </c>
      <c r="H247" s="208" t="n"/>
      <c r="I247" s="209" t="n"/>
    </row>
    <row r="248">
      <c r="A248" s="201" t="inlineStr">
        <is>
          <t>El límite del órgano y su más allá  /  Prólogo de Éric Laurent</t>
        </is>
      </c>
      <c r="B248" s="165" t="n">
        <v>1</v>
      </c>
      <c r="C248" s="68" t="n">
        <v>133</v>
      </c>
      <c r="D248" s="110">
        <f>B248*C248</f>
        <v/>
      </c>
      <c r="E248" s="271" t="n"/>
      <c r="F248" s="110">
        <f>D248+E248</f>
        <v/>
      </c>
      <c r="G248" s="207" t="n">
        <v>46190</v>
      </c>
      <c r="H248" s="208" t="n"/>
      <c r="I248" s="209" t="n"/>
    </row>
    <row r="249">
      <c r="A249" s="201" t="inlineStr">
        <is>
          <t>Clínica do Excesso</t>
        </is>
      </c>
      <c r="B249" s="165" t="n">
        <v>1</v>
      </c>
      <c r="C249" s="68" t="n">
        <v>120</v>
      </c>
      <c r="D249" s="110">
        <f>B249*C249</f>
        <v/>
      </c>
      <c r="E249" s="271" t="n"/>
      <c r="F249" s="110">
        <f>D249+E249</f>
        <v/>
      </c>
      <c r="G249" s="207" t="n">
        <v>46190</v>
      </c>
      <c r="H249" s="208" t="n"/>
      <c r="I249" s="209" t="n"/>
    </row>
    <row r="250">
      <c r="A250" s="200" t="inlineStr">
        <is>
          <t>Entre o cair e o despertar</t>
        </is>
      </c>
      <c r="B250" s="165" t="n">
        <v>1</v>
      </c>
      <c r="C250" s="68" t="n">
        <v>85</v>
      </c>
      <c r="D250" s="110">
        <f>B250*C250</f>
        <v/>
      </c>
      <c r="E250" s="271" t="n"/>
      <c r="F250" s="110">
        <f>D250+E250</f>
        <v/>
      </c>
      <c r="G250" s="207" t="n">
        <v>46190</v>
      </c>
      <c r="H250" s="208" t="n"/>
      <c r="I250" s="209" t="n"/>
    </row>
    <row r="251">
      <c r="A251" s="201" t="inlineStr">
        <is>
          <t>Revista Registros Furia  --Tomo Fuego</t>
        </is>
      </c>
      <c r="B251" s="165" t="n">
        <v>1</v>
      </c>
      <c r="C251" s="68" t="n">
        <v>160</v>
      </c>
      <c r="D251" s="110">
        <f>B251*C251</f>
        <v/>
      </c>
      <c r="E251" s="76" t="n"/>
      <c r="F251" s="110">
        <f>D251+E251</f>
        <v/>
      </c>
      <c r="G251" s="207" t="n">
        <v>46190</v>
      </c>
      <c r="H251" s="208" t="n"/>
      <c r="I251" s="209" t="n"/>
    </row>
    <row r="252">
      <c r="A252" s="200" t="inlineStr">
        <is>
          <t>Entre o cair e o despertar</t>
        </is>
      </c>
      <c r="B252" s="165" t="n">
        <v>1</v>
      </c>
      <c r="C252" s="68" t="n">
        <v>85</v>
      </c>
      <c r="D252" s="110">
        <f>B252*C252</f>
        <v/>
      </c>
      <c r="E252" s="76" t="n"/>
      <c r="F252" s="110">
        <f>D252+E252</f>
        <v/>
      </c>
      <c r="G252" s="207" t="n">
        <v>46190</v>
      </c>
      <c r="H252" s="208" t="n"/>
      <c r="I252" s="209" t="n"/>
    </row>
    <row r="253">
      <c r="A253" s="200" t="inlineStr">
        <is>
          <t>Entre o cair e o despertar</t>
        </is>
      </c>
      <c r="B253" s="165" t="n">
        <v>1</v>
      </c>
      <c r="C253" s="68" t="n">
        <v>85</v>
      </c>
      <c r="D253" s="110">
        <f>B253*C253</f>
        <v/>
      </c>
      <c r="E253" s="76" t="n"/>
      <c r="F253" s="110">
        <f>D253+E253</f>
        <v/>
      </c>
      <c r="G253" s="207" t="n">
        <v>46192</v>
      </c>
      <c r="H253" s="208" t="n"/>
      <c r="I253" s="209" t="n"/>
    </row>
    <row r="254">
      <c r="A254" s="236" t="inlineStr">
        <is>
          <t>Una Apuesta por la otredad</t>
        </is>
      </c>
      <c r="B254" s="165" t="n">
        <v>1</v>
      </c>
      <c r="C254" s="68" t="n">
        <v>70</v>
      </c>
      <c r="D254" s="110">
        <f>B254*C254</f>
        <v/>
      </c>
      <c r="E254" s="76" t="n"/>
      <c r="F254" s="110">
        <f>D254+E254</f>
        <v/>
      </c>
      <c r="G254" s="207" t="n">
        <v>46192</v>
      </c>
      <c r="H254" s="208" t="n"/>
      <c r="I254" s="209" t="n"/>
    </row>
    <row r="255">
      <c r="A255" s="236" t="inlineStr">
        <is>
          <t>Clinica do Excesso</t>
        </is>
      </c>
      <c r="B255" s="165" t="n">
        <v>1</v>
      </c>
      <c r="C255" s="248" t="n">
        <v>120</v>
      </c>
      <c r="D255" s="110">
        <f>B255*C255</f>
        <v/>
      </c>
      <c r="E255" s="248" t="n"/>
      <c r="F255" s="110">
        <f>D255+E255</f>
        <v/>
      </c>
      <c r="G255" s="195" t="n">
        <v>46192</v>
      </c>
      <c r="H255" s="236" t="n"/>
      <c r="I255" s="118" t="n"/>
    </row>
    <row r="256">
      <c r="A256" s="200" t="inlineStr">
        <is>
          <t>Una brújula para leer los síntomas contemporáneo  Freud y Lacan</t>
        </is>
      </c>
      <c r="B256" s="165" t="n">
        <v>1</v>
      </c>
      <c r="C256" s="248" t="n">
        <v>100</v>
      </c>
      <c r="D256" s="110">
        <f>B256*C256</f>
        <v/>
      </c>
      <c r="E256" s="248" t="n"/>
      <c r="F256" s="110">
        <f>D256+E256</f>
        <v/>
      </c>
      <c r="G256" s="195" t="n">
        <v>46195</v>
      </c>
      <c r="H256" s="236" t="n"/>
      <c r="I256" s="118" t="n"/>
    </row>
    <row r="257">
      <c r="A257" s="201" t="inlineStr">
        <is>
          <t>Construcciones sobre lo imposible</t>
        </is>
      </c>
      <c r="B257" s="165" t="n">
        <v>1</v>
      </c>
      <c r="C257" s="248" t="n">
        <v>100</v>
      </c>
      <c r="D257" s="110">
        <f>B257*C257</f>
        <v/>
      </c>
      <c r="E257" s="248" t="n"/>
      <c r="F257" s="110">
        <f>D257+E257</f>
        <v/>
      </c>
      <c r="G257" s="195" t="n">
        <v>46164</v>
      </c>
      <c r="H257" s="236" t="n"/>
      <c r="I257" s="118" t="n"/>
    </row>
    <row r="258">
      <c r="A258" s="200" t="inlineStr">
        <is>
          <t>O psicótico e o psicanalista</t>
        </is>
      </c>
      <c r="B258" s="165" t="n">
        <v>1</v>
      </c>
      <c r="C258" s="248" t="n">
        <v>70</v>
      </c>
      <c r="D258" s="110">
        <f>B258*C258</f>
        <v/>
      </c>
      <c r="E258" s="248" t="n"/>
      <c r="F258" s="110">
        <f>D258+E258</f>
        <v/>
      </c>
      <c r="G258" s="195" t="n">
        <v>46164</v>
      </c>
      <c r="H258" s="236" t="n"/>
      <c r="I258" s="118" t="n"/>
    </row>
    <row r="259">
      <c r="A259" s="200" t="inlineStr">
        <is>
          <t xml:space="preserve">Monologo Compartido com la locura </t>
        </is>
      </c>
      <c r="B259" s="165" t="n">
        <v>1</v>
      </c>
      <c r="C259" s="248" t="n">
        <v>125</v>
      </c>
      <c r="D259" s="110">
        <f>B259*C259</f>
        <v/>
      </c>
      <c r="E259" s="248" t="n"/>
      <c r="F259" s="110">
        <f>D259+E259</f>
        <v/>
      </c>
      <c r="G259" s="195" t="n">
        <v>46211</v>
      </c>
      <c r="H259" s="236" t="n"/>
      <c r="I259" s="118" t="n"/>
    </row>
    <row r="260">
      <c r="A260" s="200" t="inlineStr">
        <is>
          <t xml:space="preserve">Monologo Compartido com la locura </t>
        </is>
      </c>
      <c r="B260" s="165" t="n">
        <v>1</v>
      </c>
      <c r="C260" s="248" t="n">
        <v>125</v>
      </c>
      <c r="D260" s="110">
        <f>B260*C260</f>
        <v/>
      </c>
      <c r="E260" s="248" t="n"/>
      <c r="F260" s="110">
        <f>D260+E260</f>
        <v/>
      </c>
      <c r="G260" s="195" t="n">
        <v>46211</v>
      </c>
      <c r="H260" s="236" t="n"/>
      <c r="I260" s="118" t="n"/>
    </row>
    <row r="261">
      <c r="A261" s="200" t="inlineStr">
        <is>
          <t xml:space="preserve">O Campo Uniano - O último ensino de Lacan e suas consequências </t>
        </is>
      </c>
      <c r="B261" s="165" t="n">
        <v>1</v>
      </c>
      <c r="C261" s="248" t="n">
        <v>130</v>
      </c>
      <c r="D261" s="110">
        <f>B261*C261</f>
        <v/>
      </c>
      <c r="E261" s="248" t="n"/>
      <c r="F261" s="110">
        <f>D261+E261</f>
        <v/>
      </c>
      <c r="G261" s="195" t="n">
        <v>46212</v>
      </c>
      <c r="H261" s="236" t="n"/>
      <c r="I261" s="118" t="n"/>
    </row>
    <row r="262">
      <c r="A262" s="200" t="inlineStr">
        <is>
          <t>Entre o cair e o despertar</t>
        </is>
      </c>
      <c r="B262" s="273" t="n">
        <v>1</v>
      </c>
      <c r="C262" s="284" t="n">
        <v>85</v>
      </c>
      <c r="D262" s="110">
        <f>B262*C262</f>
        <v/>
      </c>
      <c r="E262" s="284" t="n"/>
      <c r="F262" s="110">
        <f>D262+E262</f>
        <v/>
      </c>
      <c r="G262" s="207" t="n">
        <v>46212</v>
      </c>
      <c r="H262" s="208" t="n"/>
      <c r="I262" s="209" t="n"/>
    </row>
    <row r="263">
      <c r="A263" s="236" t="inlineStr">
        <is>
          <t>Clinica do Excesso</t>
        </is>
      </c>
      <c r="B263" s="273" t="n">
        <v>1</v>
      </c>
      <c r="C263" s="284" t="n">
        <v>120</v>
      </c>
      <c r="D263" s="110">
        <f>B263*C263</f>
        <v/>
      </c>
      <c r="E263" s="284" t="n"/>
      <c r="F263" s="110">
        <f>D263+E263</f>
        <v/>
      </c>
      <c r="G263" s="207" t="n">
        <v>46212</v>
      </c>
      <c r="H263" s="208" t="n"/>
      <c r="I263" s="209" t="n"/>
    </row>
    <row r="264">
      <c r="A264" s="201" t="inlineStr">
        <is>
          <t>A comida e o inconsciente</t>
        </is>
      </c>
      <c r="B264" s="273" t="n">
        <v>1</v>
      </c>
      <c r="C264" s="286" t="n">
        <v>105</v>
      </c>
      <c r="D264" s="110">
        <f>B264*C264</f>
        <v/>
      </c>
      <c r="E264" s="284" t="n"/>
      <c r="F264" s="110">
        <f>D264+E264</f>
        <v/>
      </c>
      <c r="G264" s="207" t="n">
        <v>46212</v>
      </c>
      <c r="H264" s="208" t="n"/>
      <c r="I264" s="209" t="n"/>
    </row>
    <row r="265">
      <c r="A265" s="201" t="inlineStr">
        <is>
          <t>Agente 19</t>
        </is>
      </c>
      <c r="B265" s="273" t="n">
        <v>1</v>
      </c>
      <c r="C265" s="284" t="n">
        <v>50</v>
      </c>
      <c r="D265" s="110">
        <f>B265*C265</f>
        <v/>
      </c>
      <c r="E265" s="284" t="n"/>
      <c r="F265" s="110">
        <f>D265+E265</f>
        <v/>
      </c>
      <c r="G265" s="207" t="n">
        <v>46212</v>
      </c>
      <c r="H265" s="208" t="n"/>
      <c r="I265" s="209" t="n"/>
    </row>
    <row r="266">
      <c r="A266" s="201" t="inlineStr">
        <is>
          <t>Agente 20</t>
        </is>
      </c>
      <c r="B266" s="273" t="n">
        <v>1</v>
      </c>
      <c r="C266" s="284" t="n">
        <v>50</v>
      </c>
      <c r="D266" s="110">
        <f>B266*C266</f>
        <v/>
      </c>
      <c r="E266" s="284" t="n"/>
      <c r="F266" s="110">
        <f>D266+E266</f>
        <v/>
      </c>
      <c r="G266" s="207" t="n">
        <v>46212</v>
      </c>
      <c r="H266" s="208" t="n"/>
      <c r="I266" s="209" t="n"/>
    </row>
    <row r="267">
      <c r="A267" s="201" t="inlineStr">
        <is>
          <t>Agente 21</t>
        </is>
      </c>
      <c r="B267" s="273" t="n">
        <v>1</v>
      </c>
      <c r="C267" s="284" t="n">
        <v>50</v>
      </c>
      <c r="D267" s="110">
        <f>B267*C267</f>
        <v/>
      </c>
      <c r="E267" s="284" t="n"/>
      <c r="F267" s="110">
        <f>D267+E267</f>
        <v/>
      </c>
      <c r="G267" s="207" t="n">
        <v>46212</v>
      </c>
      <c r="H267" s="208" t="n"/>
      <c r="I267" s="209" t="n"/>
    </row>
    <row r="268">
      <c r="A268" s="201" t="inlineStr">
        <is>
          <t>Envelhecer</t>
        </is>
      </c>
      <c r="B268" s="273" t="n">
        <v>1</v>
      </c>
      <c r="C268" s="284" t="n">
        <v>100</v>
      </c>
      <c r="D268" s="110">
        <f>B268*C268</f>
        <v/>
      </c>
      <c r="E268" s="284" t="n"/>
      <c r="F268" s="110">
        <f>D268+E268</f>
        <v/>
      </c>
      <c r="G268" s="207" t="n">
        <v>46213</v>
      </c>
      <c r="H268" s="208" t="n"/>
      <c r="I268" s="209" t="n"/>
    </row>
    <row r="269">
      <c r="A269" s="200" t="inlineStr">
        <is>
          <t>O psicótico e o psicanalista</t>
        </is>
      </c>
      <c r="B269" s="273" t="n">
        <v>1</v>
      </c>
      <c r="C269" s="284" t="n">
        <v>70</v>
      </c>
      <c r="D269" s="110">
        <f>B269*C269</f>
        <v/>
      </c>
      <c r="E269" s="284" t="n"/>
      <c r="F269" s="110">
        <f>D269+E269</f>
        <v/>
      </c>
      <c r="G269" s="207" t="n">
        <v>46213</v>
      </c>
      <c r="H269" s="208" t="n"/>
      <c r="I269" s="209" t="n"/>
    </row>
    <row r="270">
      <c r="A270" s="201" t="inlineStr">
        <is>
          <t>Construcciones sobre lo imposible</t>
        </is>
      </c>
      <c r="B270" s="273" t="n">
        <v>1</v>
      </c>
      <c r="C270" s="286" t="n">
        <v>95</v>
      </c>
      <c r="D270" s="110">
        <f>B270*C270</f>
        <v/>
      </c>
      <c r="E270" s="284" t="n"/>
      <c r="F270" s="110">
        <f>D270+E270</f>
        <v/>
      </c>
      <c r="G270" s="207" t="n">
        <v>46213</v>
      </c>
      <c r="H270" s="208" t="n"/>
      <c r="I270" s="209" t="n"/>
    </row>
    <row r="271">
      <c r="A271" s="208" t="inlineStr">
        <is>
          <t>Livro usado (vários exemplares na biblioteca)</t>
        </is>
      </c>
      <c r="B271" s="273" t="n">
        <v>1</v>
      </c>
      <c r="C271" s="284" t="n">
        <v>50</v>
      </c>
      <c r="D271" s="110">
        <f>B271*C271</f>
        <v/>
      </c>
      <c r="E271" s="284" t="n"/>
      <c r="F271" s="110">
        <f>D271+E271</f>
        <v/>
      </c>
      <c r="G271" s="207" t="n">
        <v>46213</v>
      </c>
      <c r="H271" s="208" t="n"/>
      <c r="I271" s="209" t="n"/>
    </row>
    <row r="272">
      <c r="A272" s="201" t="inlineStr">
        <is>
          <t>Construcciones sobre lo imposible</t>
        </is>
      </c>
      <c r="B272" s="273" t="n">
        <v>1</v>
      </c>
      <c r="C272" s="284" t="n">
        <v>95</v>
      </c>
      <c r="D272" s="110">
        <f>B272*C272</f>
        <v/>
      </c>
      <c r="E272" s="284" t="n">
        <v>31</v>
      </c>
      <c r="F272" s="110">
        <f>D272+E272</f>
        <v/>
      </c>
      <c r="G272" s="207" t="n">
        <v>46217</v>
      </c>
      <c r="H272" s="208" t="n"/>
      <c r="I272" s="209" t="n"/>
    </row>
    <row r="273">
      <c r="A273" s="201" t="inlineStr">
        <is>
          <t>A comida e o inconsciente</t>
        </is>
      </c>
      <c r="B273" s="273" t="n">
        <v>1</v>
      </c>
      <c r="C273" s="284" t="n">
        <v>105</v>
      </c>
      <c r="D273" s="110">
        <f>B273*C273</f>
        <v/>
      </c>
      <c r="E273" s="284" t="n"/>
      <c r="F273" s="110">
        <f>D273+E273</f>
        <v/>
      </c>
      <c r="G273" s="207" t="n">
        <v>46218</v>
      </c>
      <c r="H273" s="208" t="n"/>
      <c r="I273" s="209" t="n"/>
    </row>
    <row r="274">
      <c r="A274" s="201" t="inlineStr">
        <is>
          <t>A comida e o inconsciente</t>
        </is>
      </c>
      <c r="B274" s="273" t="n">
        <v>1</v>
      </c>
      <c r="C274" s="284" t="n">
        <v>105</v>
      </c>
      <c r="D274" s="110">
        <f>B274*C274</f>
        <v/>
      </c>
      <c r="E274" s="284" t="n"/>
      <c r="F274" s="110">
        <f>D274+E274</f>
        <v/>
      </c>
      <c r="G274" s="207" t="n">
        <v>46218</v>
      </c>
      <c r="H274" s="208" t="n"/>
      <c r="I274" s="209" t="n"/>
    </row>
    <row r="275">
      <c r="A275" s="200" t="inlineStr">
        <is>
          <t xml:space="preserve">Monologo Compartido com la locura </t>
        </is>
      </c>
      <c r="B275" s="273" t="n">
        <v>1</v>
      </c>
      <c r="C275" s="284" t="n">
        <v>125</v>
      </c>
      <c r="D275" s="110">
        <f>B275*C275</f>
        <v/>
      </c>
      <c r="E275" s="284" t="n"/>
      <c r="F275" s="110">
        <f>D275+E275</f>
        <v/>
      </c>
      <c r="G275" s="207" t="n">
        <v>46218</v>
      </c>
      <c r="H275" s="208" t="n"/>
      <c r="I275" s="209" t="n"/>
    </row>
    <row r="276">
      <c r="A276" s="200" t="inlineStr">
        <is>
          <t>Una brújula para leer los síntomas contemporáneo  Freud y Lacan</t>
        </is>
      </c>
      <c r="B276" s="273" t="n">
        <v>1</v>
      </c>
      <c r="C276" s="284" t="n">
        <v>105</v>
      </c>
      <c r="D276" s="110">
        <f>B276*C276</f>
        <v/>
      </c>
      <c r="E276" s="284" t="n"/>
      <c r="F276" s="110">
        <f>D276+E276</f>
        <v/>
      </c>
      <c r="G276" s="207" t="n">
        <v>46218</v>
      </c>
      <c r="H276" s="208" t="n"/>
      <c r="I276" s="209" t="n"/>
    </row>
    <row r="277">
      <c r="A277" s="201" t="inlineStr">
        <is>
          <t>El límite del órgano y su más allá  /  Prólogo de Éric Laurent</t>
        </is>
      </c>
      <c r="B277" s="273" t="n">
        <v>1</v>
      </c>
      <c r="C277" s="286" t="n">
        <v>133</v>
      </c>
      <c r="D277" s="110">
        <f>B277*C277</f>
        <v/>
      </c>
      <c r="E277" s="284" t="n"/>
      <c r="F277" s="110">
        <f>D277+E277</f>
        <v/>
      </c>
      <c r="G277" s="207" t="n">
        <v>46218</v>
      </c>
      <c r="H277" s="208" t="n"/>
      <c r="I277" s="209" t="n"/>
    </row>
    <row r="278">
      <c r="A278" s="201" t="inlineStr">
        <is>
          <t>A comida e o inconsciente</t>
        </is>
      </c>
      <c r="B278" s="273" t="n">
        <v>2</v>
      </c>
      <c r="C278" s="286" t="n">
        <v>105</v>
      </c>
      <c r="D278" s="110">
        <f>B278*C278</f>
        <v/>
      </c>
      <c r="E278" s="284" t="n"/>
      <c r="F278" s="110">
        <f>D278+E278</f>
        <v/>
      </c>
      <c r="G278" s="207" t="n">
        <v>46219</v>
      </c>
      <c r="H278" s="208" t="n"/>
      <c r="I278" s="209" t="n"/>
    </row>
    <row r="279">
      <c r="A279" s="201" t="inlineStr">
        <is>
          <t>Construcciones sobre lo imposible</t>
        </is>
      </c>
      <c r="B279" s="273" t="n">
        <v>2</v>
      </c>
      <c r="C279" s="284" t="n">
        <v>95</v>
      </c>
      <c r="D279" s="110">
        <f>B279*C279</f>
        <v/>
      </c>
      <c r="E279" s="208" t="n"/>
      <c r="F279" s="110">
        <f>D279+E279</f>
        <v/>
      </c>
      <c r="G279" s="207" t="n">
        <v>46219</v>
      </c>
      <c r="H279" s="208" t="n"/>
      <c r="I279" s="209" t="n"/>
    </row>
    <row r="280">
      <c r="A280" s="200" t="inlineStr">
        <is>
          <t>Una brújula para leer los síntomas contemporáneo  Freud y Lacan</t>
        </is>
      </c>
      <c r="B280" s="273" t="n">
        <v>2</v>
      </c>
      <c r="C280" s="284" t="n">
        <v>105</v>
      </c>
      <c r="D280" s="110">
        <f>B280*C280</f>
        <v/>
      </c>
      <c r="E280" s="284" t="n"/>
      <c r="F280" s="110">
        <f>D280+E280</f>
        <v/>
      </c>
      <c r="G280" s="207" t="n">
        <v>46219</v>
      </c>
      <c r="H280" s="208" t="n"/>
      <c r="I280" s="209" t="n"/>
    </row>
    <row r="281">
      <c r="A281" s="201" t="inlineStr">
        <is>
          <t>A comida e o inconsciente</t>
        </is>
      </c>
      <c r="B281" s="273" t="n">
        <v>1</v>
      </c>
      <c r="C281" s="284" t="n">
        <v>105</v>
      </c>
      <c r="D281" s="110">
        <f>B281*C281</f>
        <v/>
      </c>
      <c r="E281" s="284" t="n"/>
      <c r="F281" s="110">
        <f>D281+E281</f>
        <v/>
      </c>
      <c r="G281" s="207" t="n">
        <v>46219</v>
      </c>
      <c r="H281" s="208" t="n"/>
      <c r="I281" s="209" t="n"/>
    </row>
    <row r="282">
      <c r="A282" s="208" t="inlineStr">
        <is>
          <t>Envelhecer</t>
        </is>
      </c>
      <c r="B282" s="273" t="n">
        <v>1</v>
      </c>
      <c r="C282" s="284" t="n">
        <v>100</v>
      </c>
      <c r="D282" s="110">
        <f>B282*C282</f>
        <v/>
      </c>
      <c r="E282" s="284" t="n"/>
      <c r="F282" s="110">
        <f>D282+E282</f>
        <v/>
      </c>
      <c r="G282" s="207" t="n">
        <v>46219</v>
      </c>
      <c r="H282" s="208" t="n"/>
      <c r="I282" s="209" t="n"/>
    </row>
    <row r="283">
      <c r="A283" s="200" t="inlineStr">
        <is>
          <t>Una brújula para leer los síntomas contemporáneo  Freud y Lacan</t>
        </is>
      </c>
      <c r="B283" s="273" t="n">
        <v>1</v>
      </c>
      <c r="C283" s="284" t="n">
        <v>105</v>
      </c>
      <c r="D283" s="110">
        <f>B283*C283</f>
        <v/>
      </c>
      <c r="E283" s="284" t="n"/>
      <c r="F283" s="110">
        <f>D283+E283</f>
        <v/>
      </c>
      <c r="G283" s="207" t="n">
        <v>46224</v>
      </c>
      <c r="H283" s="208" t="n"/>
      <c r="I283" s="209" t="n"/>
    </row>
    <row r="284">
      <c r="A284" s="201" t="inlineStr">
        <is>
          <t>A comida e o inconsciente</t>
        </is>
      </c>
      <c r="B284" s="165" t="n">
        <v>1</v>
      </c>
      <c r="C284" s="248" t="n">
        <v>105</v>
      </c>
      <c r="D284" s="110">
        <f>B284*C284</f>
        <v/>
      </c>
      <c r="E284" s="248" t="n"/>
      <c r="F284" s="110">
        <f>D284+E284</f>
        <v/>
      </c>
      <c r="G284" s="289" t="n">
        <v>46225</v>
      </c>
      <c r="H284" s="236" t="n"/>
      <c r="I284" s="118" t="n"/>
    </row>
    <row r="285">
      <c r="A285" s="236" t="inlineStr">
        <is>
          <t>Clínica do Excesso</t>
        </is>
      </c>
      <c r="B285" s="165" t="n">
        <v>1</v>
      </c>
      <c r="C285" s="248" t="n">
        <v>120</v>
      </c>
      <c r="D285" s="110">
        <f>B285*C285</f>
        <v/>
      </c>
      <c r="E285" s="248" t="n"/>
      <c r="F285" s="110">
        <f>D285+E285</f>
        <v/>
      </c>
      <c r="G285" s="195" t="inlineStr">
        <is>
          <t>22/072026</t>
        </is>
      </c>
      <c r="H285" s="236" t="n"/>
      <c r="I285" s="118" t="n"/>
    </row>
    <row r="286">
      <c r="A286" s="200" t="inlineStr">
        <is>
          <t>Entre o cair e o despertar</t>
        </is>
      </c>
      <c r="B286" s="165" t="n">
        <v>1</v>
      </c>
      <c r="C286" s="248" t="n">
        <v>85</v>
      </c>
      <c r="D286" s="110">
        <f>B286*C286</f>
        <v/>
      </c>
      <c r="E286" s="248" t="n"/>
      <c r="F286" s="110">
        <f>D286+E286</f>
        <v/>
      </c>
      <c r="G286" s="195" t="n">
        <v>46226</v>
      </c>
      <c r="H286" s="236" t="n"/>
      <c r="I286" s="118" t="n"/>
    </row>
    <row r="287">
      <c r="A287" s="236" t="inlineStr">
        <is>
          <t>Envelhecer</t>
        </is>
      </c>
      <c r="B287" s="165" t="n">
        <v>1</v>
      </c>
      <c r="C287" s="248" t="n">
        <v>100</v>
      </c>
      <c r="D287" s="110">
        <f>B287*C287</f>
        <v/>
      </c>
      <c r="E287" s="248" t="n"/>
      <c r="F287" s="110">
        <f>D287+E287</f>
        <v/>
      </c>
      <c r="G287" s="195" t="n">
        <v>46226</v>
      </c>
      <c r="H287" s="236" t="n"/>
      <c r="I287" s="118" t="n"/>
    </row>
    <row r="288">
      <c r="A288" s="200" t="inlineStr">
        <is>
          <t>O psicótico e o psicanalista</t>
        </is>
      </c>
      <c r="B288" s="165" t="n">
        <v>1</v>
      </c>
      <c r="C288" s="248" t="n">
        <v>70</v>
      </c>
      <c r="D288" s="110">
        <f>B288*C288</f>
        <v/>
      </c>
      <c r="E288" s="248" t="n"/>
      <c r="F288" s="110">
        <f>D288+E288</f>
        <v/>
      </c>
      <c r="G288" s="195" t="n">
        <v>46227</v>
      </c>
      <c r="H288" s="236" t="n"/>
      <c r="I288" s="118" t="n"/>
    </row>
    <row r="289">
      <c r="A289" s="200" t="inlineStr">
        <is>
          <t>Intervenciones Analícas em la perspectiva del NO-TODO</t>
        </is>
      </c>
      <c r="B289" s="165" t="n">
        <v>1</v>
      </c>
      <c r="C289" s="248" t="n">
        <v>100</v>
      </c>
      <c r="D289" s="110">
        <f>B289*C289</f>
        <v/>
      </c>
      <c r="E289" s="248" t="n"/>
      <c r="F289" s="110">
        <f>D289+E289</f>
        <v/>
      </c>
      <c r="G289" s="195" t="n">
        <v>46231</v>
      </c>
      <c r="H289" s="236" t="n"/>
      <c r="I289" s="118" t="n"/>
    </row>
    <row r="290">
      <c r="A290" s="201" t="inlineStr">
        <is>
          <t>A função do pai em psicanálise (  Consignação)</t>
        </is>
      </c>
      <c r="B290" s="165" t="n">
        <v>1</v>
      </c>
      <c r="C290" s="248" t="n">
        <v>85</v>
      </c>
      <c r="D290" s="110">
        <f>B290*C290</f>
        <v/>
      </c>
      <c r="E290" s="248" t="n"/>
      <c r="F290" s="110">
        <f>D290+E290</f>
        <v/>
      </c>
      <c r="G290" s="195" t="n">
        <v>46231</v>
      </c>
      <c r="H290" s="236" t="n"/>
      <c r="I290" s="118" t="n"/>
    </row>
    <row r="291">
      <c r="A291" s="236" t="inlineStr">
        <is>
          <t>Falar c0m Criança</t>
        </is>
      </c>
      <c r="B291" s="84" t="n">
        <v>1</v>
      </c>
      <c r="C291" s="291" t="inlineStr">
        <is>
          <t>DOAÇÃO</t>
        </is>
      </c>
      <c r="D291" s="110">
        <f>B291*C291</f>
        <v/>
      </c>
      <c r="E291" s="223" t="n"/>
      <c r="F291" s="110">
        <f>D291+E291</f>
        <v/>
      </c>
      <c r="G291" s="188" t="n">
        <v>46238</v>
      </c>
      <c r="H291" s="111" t="n"/>
      <c r="I291" s="136" t="n"/>
    </row>
    <row r="292">
      <c r="A292" s="200" t="inlineStr">
        <is>
          <t xml:space="preserve">O Campo Uniano - O último ensino de Lacan e suas consequências </t>
        </is>
      </c>
      <c r="B292" s="273" t="n">
        <v>1</v>
      </c>
      <c r="C292" s="284" t="n">
        <v>130</v>
      </c>
      <c r="D292" s="110">
        <f>B292*C292</f>
        <v/>
      </c>
      <c r="E292" s="284" t="n"/>
      <c r="F292" s="110">
        <f>D292+E292</f>
        <v/>
      </c>
      <c r="G292" s="207" t="n">
        <v>46241</v>
      </c>
      <c r="H292" s="208" t="n"/>
      <c r="I292" s="209" t="n"/>
      <c r="J292" s="236" t="n"/>
      <c r="K292" s="236" t="n"/>
      <c r="L292" s="236" t="n"/>
      <c r="M292" s="236" t="n"/>
      <c r="N292" s="236" t="n"/>
      <c r="O292" s="236" t="n"/>
      <c r="P292" s="236" t="n"/>
      <c r="Q292" s="236" t="n"/>
      <c r="R292" s="236" t="n"/>
      <c r="S292" s="236" t="n"/>
      <c r="T292" s="236" t="n"/>
      <c r="U292" s="236" t="n"/>
      <c r="V292" s="236" t="n"/>
      <c r="W292" s="236" t="n"/>
      <c r="X292" s="236" t="n"/>
      <c r="Y292" s="236" t="n"/>
      <c r="Z292" s="236" t="n"/>
    </row>
    <row r="293">
      <c r="A293" s="200" t="inlineStr">
        <is>
          <t>Entre o cair e o despertar</t>
        </is>
      </c>
      <c r="B293" s="273" t="n">
        <v>1</v>
      </c>
      <c r="C293" s="284" t="n">
        <v>85</v>
      </c>
      <c r="D293" s="110">
        <f>B293*C293</f>
        <v/>
      </c>
      <c r="E293" s="284" t="n"/>
      <c r="F293" s="110">
        <f>D293+E293</f>
        <v/>
      </c>
      <c r="G293" s="207" t="n">
        <v>46241</v>
      </c>
      <c r="H293" s="208" t="n"/>
      <c r="I293" s="209" t="n"/>
      <c r="J293" s="236" t="n"/>
      <c r="K293" s="236" t="n"/>
      <c r="L293" s="236" t="n"/>
      <c r="M293" s="236" t="n"/>
      <c r="N293" s="236" t="n"/>
      <c r="O293" s="236" t="n"/>
      <c r="P293" s="236" t="n"/>
      <c r="Q293" s="236" t="n"/>
      <c r="R293" s="236" t="n"/>
      <c r="S293" s="236" t="n"/>
      <c r="T293" s="236" t="n"/>
      <c r="U293" s="236" t="n"/>
      <c r="V293" s="236" t="n"/>
      <c r="W293" s="236" t="n"/>
      <c r="X293" s="236" t="n"/>
      <c r="Y293" s="236" t="n"/>
      <c r="Z293" s="236" t="n"/>
    </row>
    <row r="294">
      <c r="A294" s="200" t="inlineStr">
        <is>
          <t>A Morte de Si</t>
        </is>
      </c>
      <c r="B294" s="273" t="n">
        <v>1</v>
      </c>
      <c r="C294" s="284" t="n">
        <v>78</v>
      </c>
      <c r="D294" s="110" t="n">
        <v>78</v>
      </c>
      <c r="E294" s="284" t="n">
        <v>12.5</v>
      </c>
      <c r="F294" s="110" t="n">
        <v>90.5</v>
      </c>
      <c r="G294" s="207" t="inlineStr">
        <is>
          <t>09/09/2026</t>
        </is>
      </c>
      <c r="H294" s="208" t="inlineStr">
        <is>
          <t>PIX</t>
        </is>
      </c>
      <c r="I294" s="209" t="inlineStr">
        <is>
          <t>TESTE MOCK</t>
        </is>
      </c>
      <c r="J294" s="236" t="n"/>
      <c r="K294" s="236" t="n"/>
      <c r="L294" s="236" t="n"/>
      <c r="M294" s="236" t="n"/>
      <c r="N294" s="236" t="n"/>
      <c r="O294" s="236" t="n"/>
      <c r="P294" s="236" t="n"/>
      <c r="Q294" s="236" t="n"/>
      <c r="R294" s="236" t="n"/>
      <c r="S294" s="236" t="n"/>
      <c r="T294" s="236" t="n"/>
      <c r="U294" s="236" t="n"/>
      <c r="V294" s="236" t="n"/>
      <c r="W294" s="236" t="n"/>
      <c r="X294" s="236" t="n"/>
      <c r="Y294" s="236" t="n"/>
      <c r="Z294" s="236" t="n"/>
    </row>
    <row r="295">
      <c r="A295" s="200" t="n"/>
      <c r="B295" s="273" t="n"/>
      <c r="C295" s="284" t="n"/>
      <c r="D295" s="110">
        <f>B295*C295</f>
        <v/>
      </c>
      <c r="E295" s="284" t="n"/>
      <c r="F295" s="110">
        <f>D295+E295</f>
        <v/>
      </c>
      <c r="G295" s="207" t="n"/>
      <c r="H295" s="208" t="n"/>
      <c r="I295" s="209" t="n"/>
      <c r="J295" s="236" t="n"/>
      <c r="K295" s="236" t="n"/>
      <c r="L295" s="236" t="n"/>
      <c r="M295" s="236" t="n"/>
      <c r="N295" s="236" t="n"/>
      <c r="O295" s="236" t="n"/>
      <c r="P295" s="236" t="n"/>
      <c r="Q295" s="236" t="n"/>
      <c r="R295" s="236" t="n"/>
      <c r="S295" s="236" t="n"/>
      <c r="T295" s="236" t="n"/>
      <c r="U295" s="236" t="n"/>
      <c r="V295" s="236" t="n"/>
      <c r="W295" s="236" t="n"/>
      <c r="X295" s="236" t="n"/>
      <c r="Y295" s="236" t="n"/>
      <c r="Z295" s="236" t="n"/>
    </row>
    <row r="296">
      <c r="A296" s="200" t="n"/>
      <c r="B296" s="273" t="n"/>
      <c r="C296" s="284" t="n"/>
      <c r="D296" s="110">
        <f>B296*C296</f>
        <v/>
      </c>
      <c r="E296" s="284" t="n"/>
      <c r="F296" s="110">
        <f>D296+E296</f>
        <v/>
      </c>
      <c r="G296" s="207" t="n"/>
      <c r="H296" s="208" t="n"/>
      <c r="I296" s="209" t="n"/>
      <c r="J296" s="236" t="n"/>
      <c r="K296" s="236" t="n"/>
      <c r="L296" s="236" t="n"/>
      <c r="M296" s="236" t="n"/>
      <c r="N296" s="236" t="n"/>
      <c r="O296" s="236" t="n"/>
      <c r="P296" s="236" t="n"/>
      <c r="Q296" s="236" t="n"/>
      <c r="R296" s="236" t="n"/>
      <c r="S296" s="236" t="n"/>
      <c r="T296" s="236" t="n"/>
      <c r="U296" s="236" t="n"/>
      <c r="V296" s="236" t="n"/>
      <c r="W296" s="236" t="n"/>
      <c r="X296" s="236" t="n"/>
      <c r="Y296" s="236" t="n"/>
      <c r="Z296" s="236" t="n"/>
    </row>
    <row r="297">
      <c r="A297" s="200" t="n"/>
      <c r="B297" s="273" t="n"/>
      <c r="C297" s="284" t="n"/>
      <c r="D297" s="110">
        <f>B297*C297</f>
        <v/>
      </c>
      <c r="E297" s="284" t="n"/>
      <c r="F297" s="110">
        <f>D297+E297</f>
        <v/>
      </c>
      <c r="G297" s="207" t="n"/>
      <c r="H297" s="208" t="n"/>
      <c r="I297" s="209" t="n"/>
      <c r="J297" s="236" t="n"/>
      <c r="K297" s="236" t="n"/>
      <c r="L297" s="236" t="n"/>
      <c r="M297" s="236" t="n"/>
      <c r="N297" s="236" t="n"/>
      <c r="O297" s="236" t="n"/>
      <c r="P297" s="236" t="n"/>
      <c r="Q297" s="236" t="n"/>
      <c r="R297" s="236" t="n"/>
      <c r="S297" s="236" t="n"/>
      <c r="T297" s="236" t="n"/>
      <c r="U297" s="236" t="n"/>
      <c r="V297" s="236" t="n"/>
      <c r="W297" s="236" t="n"/>
      <c r="X297" s="236" t="n"/>
      <c r="Y297" s="236" t="n"/>
      <c r="Z297" s="236" t="n"/>
    </row>
    <row r="298">
      <c r="A298" s="208" t="n"/>
      <c r="B298" s="273" t="n"/>
      <c r="C298" s="284" t="n"/>
      <c r="D298" s="110">
        <f>B298*C298</f>
        <v/>
      </c>
      <c r="E298" s="284" t="n"/>
      <c r="F298" s="110">
        <f>D298+E298</f>
        <v/>
      </c>
      <c r="G298" s="207" t="n"/>
      <c r="H298" s="208" t="n"/>
      <c r="I298" s="209" t="n"/>
      <c r="J298" s="236" t="n"/>
      <c r="K298" s="236" t="n"/>
      <c r="L298" s="236" t="n"/>
      <c r="M298" s="236" t="n"/>
      <c r="N298" s="236" t="n"/>
      <c r="O298" s="236" t="n"/>
      <c r="P298" s="236" t="n"/>
      <c r="Q298" s="236" t="n"/>
      <c r="R298" s="236" t="n"/>
      <c r="S298" s="236" t="n"/>
      <c r="T298" s="236" t="n"/>
      <c r="U298" s="236" t="n"/>
      <c r="V298" s="236" t="n"/>
      <c r="W298" s="236" t="n"/>
      <c r="X298" s="236" t="n"/>
      <c r="Y298" s="236" t="n"/>
      <c r="Z298" s="236" t="n"/>
    </row>
    <row r="299">
      <c r="A299" s="208" t="n"/>
      <c r="B299" s="273" t="n"/>
      <c r="C299" s="286" t="n"/>
      <c r="D299" s="110">
        <f>B299*C299</f>
        <v/>
      </c>
      <c r="E299" s="284" t="n"/>
      <c r="F299" s="110">
        <f>D299+E299</f>
        <v/>
      </c>
      <c r="G299" s="207" t="n"/>
      <c r="H299" s="208" t="n"/>
      <c r="I299" s="209" t="n"/>
      <c r="J299" s="236" t="n"/>
      <c r="K299" s="236" t="n"/>
      <c r="L299" s="236" t="n"/>
      <c r="M299" s="236" t="n"/>
      <c r="N299" s="236" t="n"/>
      <c r="O299" s="236" t="n"/>
      <c r="P299" s="236" t="n"/>
      <c r="Q299" s="236" t="n"/>
      <c r="R299" s="236" t="n"/>
      <c r="S299" s="236" t="n"/>
      <c r="T299" s="236" t="n"/>
      <c r="U299" s="236" t="n"/>
      <c r="V299" s="236" t="n"/>
      <c r="W299" s="236" t="n"/>
      <c r="X299" s="236" t="n"/>
      <c r="Y299" s="236" t="n"/>
      <c r="Z299" s="236" t="n"/>
    </row>
    <row r="300">
      <c r="A300" s="208" t="n"/>
      <c r="B300" s="273" t="n"/>
      <c r="C300" s="286" t="n"/>
      <c r="D300" s="110">
        <f>B300*C300</f>
        <v/>
      </c>
      <c r="E300" s="284" t="n"/>
      <c r="F300" s="110">
        <f>D300+E300</f>
        <v/>
      </c>
      <c r="G300" s="207" t="n"/>
      <c r="H300" s="208" t="n"/>
      <c r="I300" s="209" t="n"/>
    </row>
    <row r="301">
      <c r="A301" s="200" t="n"/>
      <c r="B301" s="273" t="n"/>
      <c r="C301" s="284" t="n"/>
      <c r="D301" s="110">
        <f>B301*C301</f>
        <v/>
      </c>
      <c r="E301" s="284" t="n"/>
      <c r="F301" s="110">
        <f>D301+E301</f>
        <v/>
      </c>
      <c r="G301" s="207" t="n"/>
      <c r="H301" s="208" t="n"/>
      <c r="I301" s="209" t="n"/>
    </row>
    <row r="302">
      <c r="A302" s="200" t="n"/>
      <c r="B302" s="273" t="n"/>
      <c r="C302" s="284" t="n"/>
      <c r="D302" s="110">
        <f>B302*C302</f>
        <v/>
      </c>
      <c r="E302" s="284" t="n"/>
      <c r="F302" s="110">
        <f>D302+E302</f>
        <v/>
      </c>
      <c r="G302" s="207" t="n"/>
      <c r="H302" s="208" t="n"/>
      <c r="I302" s="209" t="n"/>
    </row>
    <row r="303">
      <c r="A303" s="200" t="n"/>
      <c r="B303" s="273" t="n"/>
      <c r="C303" s="284" t="n"/>
      <c r="D303" s="110">
        <f>B303*C303</f>
        <v/>
      </c>
      <c r="E303" s="284" t="n"/>
      <c r="F303" s="110">
        <f>D303+E303</f>
        <v/>
      </c>
      <c r="G303" s="207" t="n"/>
      <c r="H303" s="208" t="n"/>
      <c r="I303" s="209" t="n"/>
    </row>
    <row r="304">
      <c r="A304" s="201" t="n"/>
      <c r="B304" s="273" t="n"/>
      <c r="C304" s="284" t="n"/>
      <c r="D304" s="110">
        <f>B304*C304</f>
        <v/>
      </c>
      <c r="E304" s="284" t="n"/>
      <c r="F304" s="110">
        <f>D304+E304</f>
        <v/>
      </c>
      <c r="G304" s="207" t="n"/>
      <c r="H304" s="208" t="n"/>
      <c r="I304" s="209" t="n"/>
    </row>
    <row r="305">
      <c r="A305" s="208" t="n"/>
      <c r="B305" s="273" t="n"/>
      <c r="C305" s="284" t="n"/>
      <c r="D305" s="110">
        <f>B305*C305</f>
        <v/>
      </c>
      <c r="E305" s="284" t="n"/>
      <c r="F305" s="110">
        <f>D305+E305</f>
        <v/>
      </c>
      <c r="G305" s="207" t="n"/>
      <c r="H305" s="208" t="n"/>
      <c r="I305" s="209" t="n"/>
    </row>
    <row r="306">
      <c r="A306" s="236" t="n"/>
      <c r="B306" s="165" t="n"/>
      <c r="C306" s="248" t="n"/>
      <c r="D306" s="110">
        <f>B306*C306</f>
        <v/>
      </c>
      <c r="E306" s="248" t="n"/>
      <c r="F306" s="110">
        <f>D306+E306</f>
        <v/>
      </c>
      <c r="G306" s="195" t="n"/>
      <c r="H306" s="236" t="n"/>
      <c r="I306" s="118" t="n"/>
    </row>
    <row r="307">
      <c r="A307" s="236" t="n"/>
      <c r="B307" s="165" t="n"/>
      <c r="C307" s="248" t="n"/>
      <c r="D307" s="110">
        <f>B307*C307</f>
        <v/>
      </c>
      <c r="E307" s="248" t="n"/>
      <c r="F307" s="110">
        <f>D307+E307</f>
        <v/>
      </c>
      <c r="G307" s="195" t="n"/>
      <c r="H307" s="236" t="n"/>
      <c r="I307" s="118" t="n"/>
    </row>
    <row r="308">
      <c r="A308" s="236" t="n"/>
      <c r="B308" s="165" t="n"/>
      <c r="C308" s="248" t="n"/>
      <c r="D308" s="110">
        <f>B308*C308</f>
        <v/>
      </c>
      <c r="E308" s="236" t="n"/>
      <c r="F308" s="110">
        <f>D308+E308</f>
        <v/>
      </c>
      <c r="G308" s="195" t="n"/>
      <c r="H308" s="236" t="n"/>
      <c r="I308" s="118" t="n"/>
    </row>
    <row r="309">
      <c r="A309" s="200" t="n"/>
      <c r="B309" s="273" t="n"/>
      <c r="C309" s="284" t="n"/>
      <c r="D309" s="110">
        <f>B309*C309</f>
        <v/>
      </c>
      <c r="E309" s="208" t="n"/>
      <c r="F309" s="110">
        <f>D309+E309</f>
        <v/>
      </c>
      <c r="G309" s="207" t="n"/>
      <c r="H309" s="208" t="n"/>
      <c r="I309" s="209" t="n"/>
    </row>
    <row r="310">
      <c r="A310" s="200" t="n"/>
      <c r="B310" s="273" t="n"/>
      <c r="C310" s="284" t="n"/>
      <c r="D310" s="110">
        <f>B310*C310</f>
        <v/>
      </c>
      <c r="E310" s="208" t="n"/>
      <c r="F310" s="110">
        <f>D310+E310</f>
        <v/>
      </c>
      <c r="G310" s="207" t="n"/>
      <c r="H310" s="208" t="n"/>
      <c r="I310" s="209" t="n"/>
    </row>
    <row r="311">
      <c r="A311" s="208" t="n"/>
      <c r="B311" s="273" t="n"/>
      <c r="C311" s="284" t="n"/>
      <c r="D311" s="110">
        <f>B311*C311</f>
        <v/>
      </c>
      <c r="E311" s="284" t="n"/>
      <c r="F311" s="110">
        <f>D311+E311</f>
        <v/>
      </c>
      <c r="G311" s="207" t="n"/>
      <c r="H311" s="208" t="n"/>
      <c r="I311" s="209" t="n"/>
    </row>
    <row r="312">
      <c r="A312" s="208" t="n"/>
      <c r="B312" s="273" t="n"/>
      <c r="C312" s="284" t="n"/>
      <c r="D312" s="110">
        <f>B312*C312</f>
        <v/>
      </c>
      <c r="E312" s="284" t="n"/>
      <c r="F312" s="110">
        <f>D312+E312</f>
        <v/>
      </c>
      <c r="G312" s="207" t="n"/>
      <c r="H312" s="208" t="n"/>
      <c r="I312" s="209" t="n"/>
    </row>
    <row r="313">
      <c r="A313" s="208" t="n"/>
      <c r="B313" s="273" t="n"/>
      <c r="C313" s="284" t="n"/>
      <c r="D313" s="110">
        <f>B313*C313</f>
        <v/>
      </c>
      <c r="E313" s="284" t="n"/>
      <c r="F313" s="110">
        <f>D313+E313</f>
        <v/>
      </c>
      <c r="G313" s="207" t="n"/>
      <c r="H313" s="208" t="n"/>
      <c r="I313" s="209" t="n"/>
    </row>
    <row r="314">
      <c r="A314" s="208" t="n"/>
      <c r="B314" s="273" t="n"/>
      <c r="C314" s="284" t="n"/>
      <c r="D314" s="110">
        <f>B314*C314</f>
        <v/>
      </c>
      <c r="E314" s="284" t="n"/>
      <c r="F314" s="110">
        <f>D314+E314</f>
        <v/>
      </c>
      <c r="G314" s="207" t="n"/>
      <c r="H314" s="208" t="n"/>
      <c r="I314" s="209" t="n"/>
    </row>
    <row r="315">
      <c r="A315" s="208" t="n"/>
      <c r="B315" s="273" t="n"/>
      <c r="C315" s="284" t="n"/>
      <c r="D315" s="110">
        <f>B315*C315</f>
        <v/>
      </c>
      <c r="E315" s="284" t="n"/>
      <c r="F315" s="110">
        <f>D315+E315</f>
        <v/>
      </c>
      <c r="G315" s="207" t="n"/>
      <c r="H315" s="208" t="n"/>
      <c r="I315" s="209" t="n"/>
    </row>
    <row r="316">
      <c r="A316" s="208" t="n"/>
      <c r="B316" s="273" t="n"/>
      <c r="C316" s="284" t="n"/>
      <c r="D316" s="110">
        <f>B316*C316</f>
        <v/>
      </c>
      <c r="E316" s="284" t="n"/>
      <c r="F316" s="110">
        <f>D316+E316</f>
        <v/>
      </c>
      <c r="G316" s="207" t="n"/>
      <c r="H316" s="208" t="n"/>
      <c r="I316" s="209" t="n"/>
    </row>
    <row r="317">
      <c r="A317" s="208" t="n"/>
      <c r="B317" s="273" t="n"/>
      <c r="C317" s="284" t="n"/>
      <c r="D317" s="110">
        <f>B317*C317</f>
        <v/>
      </c>
      <c r="E317" s="284" t="n"/>
      <c r="F317" s="110">
        <f>D317+E317</f>
        <v/>
      </c>
      <c r="G317" s="207" t="n"/>
      <c r="H317" s="208" t="n"/>
      <c r="I317" s="209" t="n"/>
    </row>
    <row r="318">
      <c r="A318" s="200" t="n"/>
      <c r="B318" s="273" t="n"/>
      <c r="C318" s="284" t="n"/>
      <c r="D318" s="110">
        <f>B318*C318</f>
        <v/>
      </c>
      <c r="E318" s="284" t="n"/>
      <c r="F318" s="110">
        <f>D318+E318</f>
        <v/>
      </c>
      <c r="G318" s="207" t="n"/>
      <c r="H318" s="208" t="n"/>
      <c r="I318" s="209" t="n"/>
    </row>
    <row r="319">
      <c r="A319" s="208" t="n"/>
      <c r="B319" s="273" t="n"/>
      <c r="C319" s="284" t="n"/>
      <c r="D319" s="110">
        <f>B319*C319</f>
        <v/>
      </c>
      <c r="E319" s="284" t="n"/>
      <c r="F319" s="110">
        <f>D319+E319</f>
        <v/>
      </c>
      <c r="G319" s="207" t="n"/>
      <c r="H319" s="208" t="n"/>
      <c r="I319" s="209" t="n"/>
    </row>
    <row r="320">
      <c r="A320" s="208" t="n"/>
      <c r="B320" s="273" t="n"/>
      <c r="C320" s="284" t="n"/>
      <c r="D320" s="110">
        <f>B320*C320</f>
        <v/>
      </c>
      <c r="E320" s="284" t="n"/>
      <c r="F320" s="110">
        <f>D320+E320</f>
        <v/>
      </c>
      <c r="G320" s="207" t="n"/>
      <c r="H320" s="208" t="n"/>
      <c r="I320" s="209" t="n"/>
    </row>
    <row r="321">
      <c r="A321" s="208" t="n"/>
      <c r="B321" s="273" t="n"/>
      <c r="C321" s="284" t="n"/>
      <c r="D321" s="110">
        <f>B321*C321</f>
        <v/>
      </c>
      <c r="E321" s="284" t="n"/>
      <c r="F321" s="110">
        <f>D321+E321</f>
        <v/>
      </c>
      <c r="G321" s="207" t="n"/>
      <c r="H321" s="208" t="n"/>
      <c r="I321" s="209" t="n"/>
    </row>
    <row r="322">
      <c r="A322" s="208" t="n"/>
      <c r="B322" s="273" t="n"/>
      <c r="C322" s="284" t="n"/>
      <c r="D322" s="110">
        <f>B322*C322</f>
        <v/>
      </c>
      <c r="E322" s="284" t="n"/>
      <c r="F322" s="110">
        <f>D322+E322</f>
        <v/>
      </c>
      <c r="G322" s="207" t="n"/>
      <c r="H322" s="208" t="n"/>
      <c r="I322" s="209" t="n"/>
    </row>
    <row r="323">
      <c r="A323" s="208" t="n"/>
      <c r="B323" s="273" t="n"/>
      <c r="C323" s="284" t="n"/>
      <c r="D323" s="110">
        <f>B323*C323</f>
        <v/>
      </c>
      <c r="E323" s="284" t="n"/>
      <c r="F323" s="110">
        <f>D323+E323</f>
        <v/>
      </c>
      <c r="G323" s="207" t="n"/>
      <c r="H323" s="208" t="n"/>
      <c r="I323" s="209" t="n"/>
    </row>
    <row r="324">
      <c r="A324" s="236" t="n"/>
      <c r="B324" s="165" t="n"/>
      <c r="C324" s="248" t="n"/>
      <c r="D324" s="110">
        <f>B324*C324</f>
        <v/>
      </c>
      <c r="E324" s="248" t="n"/>
      <c r="F324" s="110">
        <f>D324+E324</f>
        <v/>
      </c>
      <c r="G324" s="195" t="n"/>
      <c r="H324" s="236" t="n"/>
      <c r="I324" s="118" t="n"/>
    </row>
    <row r="325">
      <c r="A325" s="236" t="n"/>
      <c r="B325" s="165" t="n"/>
      <c r="C325" s="248" t="n"/>
      <c r="D325" s="110">
        <f>B325*C325</f>
        <v/>
      </c>
      <c r="E325" s="248" t="n"/>
      <c r="F325" s="110">
        <f>D325+E325</f>
        <v/>
      </c>
      <c r="G325" s="195" t="n"/>
      <c r="H325" s="236" t="n"/>
      <c r="I325" s="118" t="n"/>
    </row>
    <row r="326">
      <c r="A326" s="236" t="n"/>
      <c r="B326" s="165" t="n"/>
      <c r="C326" s="248" t="n"/>
      <c r="D326" s="110">
        <f>B326*C326</f>
        <v/>
      </c>
      <c r="E326" s="248" t="n"/>
      <c r="F326" s="110">
        <f>D326+E326</f>
        <v/>
      </c>
      <c r="G326" s="195" t="n"/>
      <c r="H326" s="236" t="n"/>
      <c r="I326" s="118" t="n"/>
    </row>
    <row r="327">
      <c r="A327" s="236" t="n"/>
      <c r="B327" s="165" t="n"/>
      <c r="C327" s="248" t="n"/>
      <c r="D327" s="110">
        <f>B327*C327</f>
        <v/>
      </c>
      <c r="E327" s="248" t="n"/>
      <c r="F327" s="110">
        <f>D327+E327</f>
        <v/>
      </c>
      <c r="G327" s="195" t="n"/>
      <c r="H327" s="236" t="n"/>
      <c r="I327" s="118" t="n"/>
    </row>
    <row r="328">
      <c r="A328" s="236" t="n"/>
      <c r="B328" s="165" t="n"/>
      <c r="C328" s="248" t="n"/>
      <c r="D328" s="110">
        <f>B328*C328</f>
        <v/>
      </c>
      <c r="E328" s="248" t="n"/>
      <c r="F328" s="110">
        <f>D328+E328</f>
        <v/>
      </c>
      <c r="G328" s="195" t="n"/>
      <c r="H328" s="236" t="n"/>
      <c r="I328" s="118" t="n"/>
    </row>
    <row r="329">
      <c r="A329" s="236" t="n"/>
      <c r="B329" s="165" t="n"/>
      <c r="C329" s="248" t="n"/>
      <c r="D329" s="110">
        <f>B329*C329</f>
        <v/>
      </c>
      <c r="E329" s="248" t="n"/>
      <c r="F329" s="110">
        <f>D329+E329</f>
        <v/>
      </c>
      <c r="G329" s="195" t="n"/>
      <c r="H329" s="236" t="n"/>
      <c r="I329" s="118" t="n"/>
    </row>
    <row r="330">
      <c r="A330" s="236" t="n"/>
      <c r="B330" s="165" t="n"/>
      <c r="C330" s="248" t="n"/>
      <c r="D330" s="110">
        <f>B330*C330</f>
        <v/>
      </c>
      <c r="E330" s="248" t="n"/>
      <c r="F330" s="110">
        <f>D330+E330</f>
        <v/>
      </c>
      <c r="G330" s="195" t="n"/>
      <c r="H330" s="236" t="n"/>
      <c r="I330" s="118" t="n"/>
    </row>
    <row r="331">
      <c r="A331" s="236" t="n"/>
      <c r="B331" s="165" t="n"/>
      <c r="C331" s="248" t="n"/>
      <c r="D331" s="110">
        <f>B331*C331</f>
        <v/>
      </c>
      <c r="E331" s="248" t="n"/>
      <c r="F331" s="110">
        <f>D331+E331</f>
        <v/>
      </c>
      <c r="G331" s="195" t="n"/>
      <c r="H331" s="236" t="n"/>
      <c r="I331" s="118" t="n"/>
    </row>
    <row r="332">
      <c r="A332" s="236" t="n"/>
      <c r="B332" s="165" t="n"/>
      <c r="C332" s="248" t="n"/>
      <c r="D332" s="110">
        <f>B332*C332</f>
        <v/>
      </c>
      <c r="E332" s="236" t="n"/>
      <c r="F332" s="110">
        <f>D332+E332</f>
        <v/>
      </c>
      <c r="G332" s="195" t="n"/>
      <c r="H332" s="236" t="n"/>
      <c r="I332" s="118" t="n"/>
    </row>
    <row r="333">
      <c r="A333" s="236" t="n"/>
      <c r="B333" s="165" t="n"/>
      <c r="C333" s="248" t="n"/>
      <c r="D333" s="110">
        <f>B333*C333</f>
        <v/>
      </c>
      <c r="E333" s="236" t="n"/>
      <c r="F333" s="110">
        <f>D333+E333</f>
        <v/>
      </c>
      <c r="G333" s="195" t="n"/>
      <c r="H333" s="236" t="n"/>
      <c r="I333" s="118" t="n"/>
    </row>
    <row r="334">
      <c r="A334" s="236" t="n"/>
      <c r="B334" s="165" t="n"/>
      <c r="C334" s="248" t="n"/>
      <c r="D334" s="110">
        <f>B334*C334</f>
        <v/>
      </c>
      <c r="E334" s="236" t="n"/>
      <c r="F334" s="110">
        <f>D334+E334</f>
        <v/>
      </c>
      <c r="G334" s="195" t="n"/>
      <c r="H334" s="236" t="n"/>
      <c r="I334" s="118" t="n"/>
    </row>
    <row r="335">
      <c r="A335" s="236" t="n"/>
      <c r="B335" s="165" t="n"/>
      <c r="C335" s="248" t="n"/>
      <c r="D335" s="110">
        <f>B335*C335</f>
        <v/>
      </c>
      <c r="E335" s="236" t="n"/>
      <c r="F335" s="110">
        <f>D335+E335</f>
        <v/>
      </c>
      <c r="G335" s="195" t="n"/>
      <c r="H335" s="236" t="n"/>
      <c r="I335" s="118" t="n"/>
    </row>
    <row r="336">
      <c r="A336" s="236" t="n"/>
      <c r="B336" s="165" t="n"/>
      <c r="C336" s="248" t="n"/>
      <c r="D336" s="110">
        <f>B336*C336</f>
        <v/>
      </c>
      <c r="E336" s="236" t="n"/>
      <c r="F336" s="110">
        <f>D336+E336</f>
        <v/>
      </c>
      <c r="G336" s="195" t="n"/>
      <c r="H336" s="236" t="n"/>
      <c r="I336" s="118" t="n"/>
    </row>
    <row r="337">
      <c r="A337" s="236" t="n"/>
      <c r="B337" s="165" t="n"/>
      <c r="C337" s="248" t="n"/>
      <c r="D337" s="110">
        <f>B337*C337</f>
        <v/>
      </c>
      <c r="E337" s="236" t="n"/>
      <c r="F337" s="110">
        <f>D337+E337</f>
        <v/>
      </c>
      <c r="G337" s="195" t="n"/>
      <c r="H337" s="236" t="n"/>
      <c r="I337" s="118" t="n"/>
    </row>
    <row r="338">
      <c r="A338" s="236" t="n"/>
      <c r="B338" s="165" t="n"/>
      <c r="C338" s="248" t="n"/>
      <c r="D338" s="110">
        <f>B338*C338</f>
        <v/>
      </c>
      <c r="E338" s="236" t="n"/>
      <c r="F338" s="110">
        <f>D338+E338</f>
        <v/>
      </c>
      <c r="G338" s="195" t="n"/>
      <c r="H338" s="236" t="n"/>
      <c r="I338" s="118" t="n"/>
    </row>
    <row r="339">
      <c r="A339" s="236" t="n"/>
      <c r="B339" s="165" t="n"/>
      <c r="C339" s="248" t="n"/>
      <c r="D339" s="110">
        <f>B339*C339</f>
        <v/>
      </c>
      <c r="E339" s="248" t="n"/>
      <c r="F339" s="110">
        <f>D339+E339</f>
        <v/>
      </c>
      <c r="G339" s="195" t="n"/>
      <c r="H339" s="236" t="n"/>
      <c r="I339" s="118" t="n"/>
    </row>
    <row r="340">
      <c r="A340" s="236" t="n"/>
      <c r="B340" s="165" t="n"/>
      <c r="C340" s="248" t="n"/>
      <c r="D340" s="110">
        <f>B340*C340</f>
        <v/>
      </c>
      <c r="E340" s="248" t="n"/>
      <c r="F340" s="110">
        <f>D340+E340</f>
        <v/>
      </c>
      <c r="G340" s="195" t="n"/>
      <c r="H340" s="236" t="n"/>
      <c r="I340" s="118" t="n"/>
    </row>
    <row r="341">
      <c r="A341" s="236" t="n"/>
      <c r="B341" s="165" t="n"/>
      <c r="C341" s="248" t="n"/>
      <c r="D341" s="110">
        <f>B341*C341</f>
        <v/>
      </c>
      <c r="E341" s="248" t="n"/>
      <c r="F341" s="110">
        <f>D341+E341</f>
        <v/>
      </c>
      <c r="G341" s="195" t="n"/>
      <c r="H341" s="236" t="n"/>
      <c r="I341" s="118" t="n"/>
    </row>
    <row r="342">
      <c r="A342" s="236" t="n"/>
      <c r="B342" s="165" t="n"/>
      <c r="C342" s="248" t="n"/>
      <c r="D342" s="110">
        <f>B342*C342</f>
        <v/>
      </c>
      <c r="E342" s="248" t="n"/>
      <c r="F342" s="110">
        <f>D342+E342</f>
        <v/>
      </c>
      <c r="G342" s="195" t="n"/>
      <c r="H342" s="236" t="n"/>
      <c r="I342" s="118" t="n"/>
    </row>
    <row r="343">
      <c r="A343" s="236" t="n"/>
      <c r="B343" s="165" t="n"/>
      <c r="C343" s="248" t="n"/>
      <c r="D343" s="110">
        <f>B343*C343</f>
        <v/>
      </c>
      <c r="E343" s="248" t="n"/>
      <c r="F343" s="110">
        <f>D343+E343</f>
        <v/>
      </c>
      <c r="G343" s="195" t="n"/>
      <c r="H343" s="236" t="n"/>
      <c r="I343" s="118" t="n"/>
    </row>
    <row r="344">
      <c r="A344" s="200" t="n"/>
      <c r="B344" s="165" t="n"/>
      <c r="C344" s="248" t="n"/>
      <c r="D344" s="110">
        <f>B344*C344</f>
        <v/>
      </c>
      <c r="E344" s="248" t="n"/>
      <c r="F344" s="110">
        <f>D344+E344</f>
        <v/>
      </c>
      <c r="G344" s="195" t="n"/>
      <c r="H344" s="236" t="n"/>
      <c r="I344" s="118" t="n"/>
    </row>
    <row r="345">
      <c r="A345" s="201" t="n"/>
      <c r="B345" s="165" t="n"/>
      <c r="C345" s="248" t="n"/>
      <c r="D345" s="110">
        <f>B345*C345</f>
        <v/>
      </c>
      <c r="E345" s="248" t="n"/>
      <c r="F345" s="110">
        <f>D345+E345</f>
        <v/>
      </c>
      <c r="G345" s="195" t="n"/>
      <c r="H345" s="236" t="n"/>
      <c r="I345" s="118" t="n"/>
    </row>
    <row r="346">
      <c r="A346" s="201" t="n"/>
      <c r="B346" s="165" t="n"/>
      <c r="C346" s="248" t="n"/>
      <c r="D346" s="110">
        <f>B346*C346</f>
        <v/>
      </c>
      <c r="E346" s="248" t="n"/>
      <c r="F346" s="110">
        <f>D346+E346</f>
        <v/>
      </c>
      <c r="G346" s="195" t="n"/>
      <c r="H346" s="236" t="n"/>
      <c r="I346" s="118" t="n"/>
    </row>
    <row r="347">
      <c r="A347" s="201" t="n"/>
      <c r="B347" s="165" t="n"/>
      <c r="C347" s="248" t="n"/>
      <c r="D347" s="110">
        <f>B347*C347</f>
        <v/>
      </c>
      <c r="E347" s="248" t="n"/>
      <c r="F347" s="110">
        <f>D347+E347</f>
        <v/>
      </c>
      <c r="G347" s="195" t="n"/>
      <c r="H347" s="236" t="n"/>
      <c r="I347" s="118" t="n"/>
    </row>
    <row r="348">
      <c r="A348" s="201" t="n"/>
      <c r="B348" s="165" t="n"/>
      <c r="C348" s="248" t="n"/>
      <c r="D348" s="110">
        <f>B348*C348</f>
        <v/>
      </c>
      <c r="E348" s="248" t="n"/>
      <c r="F348" s="110">
        <f>D348+E348</f>
        <v/>
      </c>
      <c r="G348" s="195" t="n"/>
      <c r="H348" s="236" t="n"/>
      <c r="I348" s="118" t="n"/>
    </row>
    <row r="349">
      <c r="A349" s="201" t="n"/>
      <c r="B349" s="165" t="n"/>
      <c r="C349" s="248" t="n"/>
      <c r="D349" s="110">
        <f>B349*C349</f>
        <v/>
      </c>
      <c r="E349" s="248" t="n"/>
      <c r="F349" s="110">
        <f>D349+E349</f>
        <v/>
      </c>
      <c r="G349" s="195" t="n"/>
      <c r="H349" s="236" t="n"/>
      <c r="I349" s="118" t="n"/>
    </row>
    <row r="350">
      <c r="A350" s="236" t="n"/>
      <c r="B350" s="165" t="n"/>
      <c r="C350" s="248" t="n"/>
      <c r="D350" s="110">
        <f>B350*C350</f>
        <v/>
      </c>
      <c r="E350" s="248" t="n"/>
      <c r="F350" s="110">
        <f>D350+E350</f>
        <v/>
      </c>
      <c r="G350" s="195" t="n"/>
      <c r="H350" s="236" t="n"/>
      <c r="I350" s="118" t="n"/>
    </row>
    <row r="351">
      <c r="A351" s="236" t="n"/>
      <c r="B351" s="165" t="n"/>
      <c r="C351" s="248" t="n"/>
      <c r="D351" s="110">
        <f>B351*C351</f>
        <v/>
      </c>
      <c r="E351" s="248" t="n"/>
      <c r="F351" s="110">
        <f>D351+E351</f>
        <v/>
      </c>
      <c r="G351" s="195" t="n"/>
      <c r="H351" s="236" t="n"/>
      <c r="I351" s="118" t="n"/>
    </row>
    <row r="352">
      <c r="A352" s="236" t="n"/>
      <c r="B352" s="165" t="n"/>
      <c r="C352" s="248" t="n"/>
      <c r="D352" s="110">
        <f>B352*C352</f>
        <v/>
      </c>
      <c r="E352" s="248" t="n"/>
      <c r="F352" s="110">
        <f>D352+E352</f>
        <v/>
      </c>
      <c r="G352" s="195" t="n"/>
      <c r="H352" s="236" t="n"/>
      <c r="I352" s="118" t="n"/>
    </row>
    <row r="353">
      <c r="A353" s="236" t="n"/>
      <c r="B353" s="165" t="n"/>
      <c r="C353" s="248" t="n"/>
      <c r="D353" s="110">
        <f>B353*C353</f>
        <v/>
      </c>
      <c r="E353" s="248" t="n"/>
      <c r="F353" s="110">
        <f>D353+E353</f>
        <v/>
      </c>
      <c r="G353" s="195" t="n"/>
      <c r="H353" s="236" t="n"/>
      <c r="I353" s="118" t="n"/>
    </row>
    <row r="354">
      <c r="A354" s="236" t="n"/>
      <c r="B354" s="165" t="n"/>
      <c r="C354" s="248" t="n"/>
      <c r="D354" s="110">
        <f>B354*C354</f>
        <v/>
      </c>
      <c r="E354" s="248" t="n"/>
      <c r="F354" s="110">
        <f>D354+E354</f>
        <v/>
      </c>
      <c r="G354" s="195" t="n"/>
      <c r="H354" s="236" t="n"/>
      <c r="I354" s="118" t="n"/>
    </row>
    <row r="355">
      <c r="A355" s="236" t="n"/>
      <c r="B355" s="165" t="n"/>
      <c r="C355" s="248" t="n"/>
      <c r="D355" s="110">
        <f>B355*C355</f>
        <v/>
      </c>
      <c r="E355" s="248" t="n"/>
      <c r="F355" s="110">
        <f>D355+E355</f>
        <v/>
      </c>
      <c r="G355" s="195" t="n"/>
      <c r="H355" s="236" t="n"/>
      <c r="I355" s="118" t="n"/>
    </row>
    <row r="356">
      <c r="A356" s="236" t="n"/>
      <c r="B356" s="165" t="n"/>
      <c r="C356" s="248" t="n"/>
      <c r="D356" s="110">
        <f>B356*C356</f>
        <v/>
      </c>
      <c r="E356" s="248" t="n"/>
      <c r="F356" s="110">
        <f>D356+E356</f>
        <v/>
      </c>
      <c r="G356" s="195" t="n"/>
      <c r="H356" s="236" t="n"/>
      <c r="I356" s="118" t="n"/>
    </row>
    <row r="357">
      <c r="A357" s="236" t="n"/>
      <c r="B357" s="165" t="n"/>
      <c r="C357" s="248" t="n"/>
      <c r="D357" s="110">
        <f>B357*C357</f>
        <v/>
      </c>
      <c r="E357" s="248" t="n"/>
      <c r="F357" s="110">
        <f>D357+E357</f>
        <v/>
      </c>
      <c r="G357" s="195" t="n"/>
      <c r="H357" s="236" t="n"/>
      <c r="I357" s="118" t="n"/>
    </row>
    <row r="358">
      <c r="A358" s="236" t="n"/>
      <c r="B358" s="165" t="n"/>
      <c r="C358" s="248" t="n"/>
      <c r="D358" s="110">
        <f>B358*C358</f>
        <v/>
      </c>
      <c r="E358" s="248" t="n"/>
      <c r="F358" s="110">
        <f>D358+E358</f>
        <v/>
      </c>
      <c r="G358" s="195" t="n"/>
      <c r="H358" s="236" t="n"/>
      <c r="I358" s="118" t="n"/>
    </row>
    <row r="359">
      <c r="A359" s="236" t="n"/>
      <c r="B359" s="165" t="n"/>
      <c r="C359" s="248" t="n"/>
      <c r="D359" s="110">
        <f>B359*C359</f>
        <v/>
      </c>
      <c r="E359" s="248" t="n"/>
      <c r="F359" s="110">
        <f>D359+E359</f>
        <v/>
      </c>
      <c r="G359" s="195" t="n"/>
      <c r="H359" s="236" t="n"/>
      <c r="I359" s="118" t="n"/>
    </row>
    <row r="360">
      <c r="A360" s="236" t="n"/>
      <c r="B360" s="165" t="n"/>
      <c r="C360" s="248" t="n"/>
      <c r="D360" s="110">
        <f>B360*C360</f>
        <v/>
      </c>
      <c r="E360" s="248" t="n"/>
      <c r="F360" s="110">
        <f>D360+E360</f>
        <v/>
      </c>
      <c r="G360" s="195" t="n"/>
      <c r="H360" s="236" t="n"/>
      <c r="I360" s="118" t="n"/>
    </row>
    <row r="361">
      <c r="A361" s="236" t="n"/>
      <c r="B361" s="165" t="n"/>
      <c r="C361" s="248" t="n"/>
      <c r="D361" s="110">
        <f>B361*C361</f>
        <v/>
      </c>
      <c r="E361" s="248" t="n"/>
      <c r="F361" s="110">
        <f>D361+E361</f>
        <v/>
      </c>
      <c r="G361" s="195" t="n"/>
      <c r="H361" s="236" t="n"/>
      <c r="I361" s="118" t="n"/>
    </row>
    <row r="362">
      <c r="A362" s="236" t="n"/>
      <c r="B362" s="165" t="n"/>
      <c r="C362" s="248" t="n"/>
      <c r="D362" s="110">
        <f>B362*C362</f>
        <v/>
      </c>
      <c r="E362" s="248" t="n"/>
      <c r="F362" s="110">
        <f>D362+E362</f>
        <v/>
      </c>
      <c r="G362" s="195" t="n"/>
      <c r="H362" s="236" t="n"/>
      <c r="I362" s="118" t="n"/>
    </row>
    <row r="363">
      <c r="A363" s="236" t="n"/>
      <c r="B363" s="165" t="n"/>
      <c r="C363" s="248" t="n"/>
      <c r="D363" s="110">
        <f>B363*C363</f>
        <v/>
      </c>
      <c r="E363" s="248" t="n"/>
      <c r="F363" s="110">
        <f>D363+E363</f>
        <v/>
      </c>
      <c r="G363" s="195" t="n"/>
      <c r="H363" s="236" t="n"/>
      <c r="I363" s="118" t="n"/>
    </row>
    <row r="364">
      <c r="A364" s="236" t="n"/>
      <c r="B364" s="165" t="n"/>
      <c r="C364" s="248" t="n"/>
      <c r="D364" s="110">
        <f>B364*C364</f>
        <v/>
      </c>
      <c r="E364" s="248" t="n"/>
      <c r="F364" s="110">
        <f>D364+E364</f>
        <v/>
      </c>
      <c r="G364" s="195" t="n"/>
      <c r="H364" s="236" t="n"/>
      <c r="I364" s="118" t="n"/>
    </row>
    <row r="365">
      <c r="A365" s="236" t="n"/>
      <c r="B365" s="165" t="n"/>
      <c r="C365" s="248" t="n"/>
      <c r="D365" s="110">
        <f>B365*C365</f>
        <v/>
      </c>
      <c r="E365" s="248" t="n"/>
      <c r="F365" s="110">
        <f>D365+E365</f>
        <v/>
      </c>
      <c r="G365" s="195" t="n"/>
      <c r="H365" s="236" t="n"/>
      <c r="I365" s="118" t="n"/>
    </row>
    <row r="366">
      <c r="A366" s="236" t="n"/>
      <c r="B366" s="165" t="n"/>
      <c r="C366" s="248" t="n"/>
      <c r="D366" s="110">
        <f>B366*C366</f>
        <v/>
      </c>
      <c r="E366" s="248" t="n"/>
      <c r="F366" s="110">
        <f>D366+E366</f>
        <v/>
      </c>
      <c r="G366" s="195" t="n"/>
      <c r="H366" s="236" t="n"/>
      <c r="I366" s="118" t="n"/>
    </row>
    <row r="367">
      <c r="A367" s="236" t="n"/>
      <c r="B367" s="165" t="n"/>
      <c r="C367" s="248" t="n"/>
      <c r="D367" s="110">
        <f>B367*C367</f>
        <v/>
      </c>
      <c r="E367" s="248" t="n"/>
      <c r="F367" s="110">
        <f>D367+E367</f>
        <v/>
      </c>
      <c r="G367" s="195" t="n"/>
      <c r="H367" s="236" t="n"/>
      <c r="I367" s="118" t="n"/>
    </row>
    <row r="368">
      <c r="A368" s="236" t="n"/>
      <c r="B368" s="165" t="n"/>
      <c r="C368" s="248" t="n"/>
      <c r="D368" s="110">
        <f>B368*C368</f>
        <v/>
      </c>
      <c r="E368" s="248" t="n"/>
      <c r="F368" s="110">
        <f>D368+E368</f>
        <v/>
      </c>
      <c r="G368" s="195" t="n"/>
      <c r="H368" s="236" t="n"/>
      <c r="I368" s="118" t="n"/>
    </row>
    <row r="369">
      <c r="A369" s="236" t="n"/>
      <c r="B369" s="165" t="n"/>
      <c r="C369" s="248" t="n"/>
      <c r="D369" s="110">
        <f>B369*C369</f>
        <v/>
      </c>
      <c r="E369" s="248" t="n"/>
      <c r="F369" s="110">
        <f>D369+E369</f>
        <v/>
      </c>
      <c r="G369" s="195" t="n"/>
      <c r="H369" s="236" t="n"/>
      <c r="I369" s="118" t="n"/>
    </row>
    <row r="370">
      <c r="A370" s="236" t="n"/>
      <c r="B370" s="165" t="n"/>
      <c r="C370" s="248" t="n"/>
      <c r="D370" s="110">
        <f>B370*C370</f>
        <v/>
      </c>
      <c r="E370" s="248" t="n"/>
      <c r="F370" s="110">
        <f>D370+E370</f>
        <v/>
      </c>
      <c r="G370" s="195" t="n"/>
      <c r="H370" s="236" t="n"/>
      <c r="I370" s="118" t="n"/>
    </row>
    <row r="371">
      <c r="A371" s="236" t="n"/>
      <c r="B371" s="165" t="n"/>
      <c r="C371" s="248" t="n"/>
      <c r="D371" s="110">
        <f>B371*C371</f>
        <v/>
      </c>
      <c r="E371" s="248" t="n"/>
      <c r="F371" s="110">
        <f>D371+E371</f>
        <v/>
      </c>
      <c r="G371" s="195" t="n"/>
      <c r="H371" s="236" t="n"/>
      <c r="I371" s="118" t="n"/>
    </row>
    <row r="372">
      <c r="A372" s="236" t="n"/>
      <c r="B372" s="165" t="n"/>
      <c r="C372" s="248" t="n"/>
      <c r="D372" s="110">
        <f>B372*C372</f>
        <v/>
      </c>
      <c r="E372" s="248" t="n"/>
      <c r="F372" s="110">
        <f>D372+E372</f>
        <v/>
      </c>
      <c r="G372" s="195" t="n"/>
      <c r="H372" s="236" t="n"/>
      <c r="I372" s="118" t="n"/>
    </row>
    <row r="373">
      <c r="A373" s="236" t="n"/>
      <c r="B373" s="165" t="n"/>
      <c r="C373" s="248" t="n"/>
      <c r="D373" s="110">
        <f>B373*C373</f>
        <v/>
      </c>
      <c r="E373" s="248" t="n"/>
      <c r="F373" s="110">
        <f>D373+E373</f>
        <v/>
      </c>
      <c r="G373" s="195" t="n"/>
      <c r="H373" s="236" t="n"/>
      <c r="I373" s="118" t="n"/>
    </row>
    <row r="374">
      <c r="A374" s="236" t="n"/>
      <c r="B374" s="165" t="n"/>
      <c r="C374" s="248" t="n"/>
      <c r="D374" s="110">
        <f>B374*C374</f>
        <v/>
      </c>
      <c r="E374" s="248" t="n"/>
      <c r="F374" s="110">
        <f>D374+E374</f>
        <v/>
      </c>
      <c r="G374" s="195" t="n"/>
      <c r="H374" s="236" t="n"/>
      <c r="I374" s="118" t="n"/>
    </row>
    <row r="375">
      <c r="A375" s="236" t="n"/>
      <c r="B375" s="165" t="n"/>
      <c r="C375" s="248" t="n"/>
      <c r="D375" s="110">
        <f>B375*C375</f>
        <v/>
      </c>
      <c r="E375" s="248" t="n"/>
      <c r="F375" s="110">
        <f>D375+E375</f>
        <v/>
      </c>
      <c r="G375" s="195" t="n"/>
      <c r="H375" s="236" t="n"/>
      <c r="I375" s="118" t="n"/>
    </row>
    <row r="376">
      <c r="A376" s="236" t="n"/>
      <c r="B376" s="165" t="n"/>
      <c r="C376" s="248" t="n"/>
      <c r="D376" s="110">
        <f>B376*C376</f>
        <v/>
      </c>
      <c r="E376" s="248" t="n"/>
      <c r="F376" s="110">
        <f>D376+E376</f>
        <v/>
      </c>
      <c r="G376" s="195" t="n"/>
      <c r="H376" s="236" t="n"/>
      <c r="I376" s="118" t="n"/>
    </row>
    <row r="377">
      <c r="A377" s="236" t="n"/>
      <c r="B377" s="165" t="n"/>
      <c r="C377" s="248" t="n"/>
      <c r="D377" s="110">
        <f>B377*C377</f>
        <v/>
      </c>
      <c r="E377" s="248" t="n"/>
      <c r="F377" s="110">
        <f>D377+E377</f>
        <v/>
      </c>
      <c r="G377" s="195" t="n"/>
      <c r="H377" s="236" t="n"/>
      <c r="I377" s="118" t="n"/>
    </row>
    <row r="378">
      <c r="A378" s="236" t="n"/>
      <c r="B378" s="165" t="n"/>
      <c r="C378" s="248" t="n"/>
      <c r="D378" s="110">
        <f>B378*C378</f>
        <v/>
      </c>
      <c r="E378" s="236" t="n"/>
      <c r="F378" s="110">
        <f>D378+E378</f>
        <v/>
      </c>
      <c r="G378" s="195" t="n"/>
      <c r="H378" s="236" t="n"/>
      <c r="I378" s="118" t="n"/>
    </row>
    <row r="379">
      <c r="A379" s="236" t="n"/>
      <c r="B379" s="165" t="n"/>
      <c r="C379" s="248" t="n"/>
      <c r="D379" s="110">
        <f>B379*C379</f>
        <v/>
      </c>
      <c r="E379" s="236" t="n"/>
      <c r="F379" s="110">
        <f>D379+E379</f>
        <v/>
      </c>
      <c r="G379" s="195" t="n"/>
      <c r="H379" s="236" t="n"/>
      <c r="I379" s="118" t="n"/>
    </row>
    <row r="380">
      <c r="A380" s="236" t="n"/>
      <c r="B380" s="165" t="n"/>
      <c r="C380" s="248" t="n"/>
      <c r="D380" s="110">
        <f>B380*C380</f>
        <v/>
      </c>
      <c r="E380" s="236" t="n"/>
      <c r="F380" s="110">
        <f>D380+E380</f>
        <v/>
      </c>
      <c r="G380" s="195" t="n"/>
      <c r="H380" s="236" t="n"/>
      <c r="I380" s="118" t="n"/>
    </row>
    <row r="381">
      <c r="A381" s="236" t="n"/>
      <c r="B381" s="165" t="n"/>
      <c r="C381" s="248" t="n"/>
      <c r="D381" s="110">
        <f>B381*C381</f>
        <v/>
      </c>
      <c r="E381" s="236" t="n"/>
      <c r="F381" s="110">
        <f>D381+E381</f>
        <v/>
      </c>
      <c r="G381" s="195" t="n"/>
      <c r="H381" s="236" t="n"/>
      <c r="I381" s="118" t="n"/>
    </row>
    <row r="382">
      <c r="A382" s="236" t="n"/>
      <c r="B382" s="165" t="n"/>
      <c r="C382" s="248" t="n"/>
      <c r="D382" s="110">
        <f>B382*C382</f>
        <v/>
      </c>
      <c r="E382" s="236" t="n"/>
      <c r="F382" s="110">
        <f>D382+E382</f>
        <v/>
      </c>
      <c r="G382" s="195" t="n"/>
      <c r="H382" s="236" t="n"/>
      <c r="I382" s="118" t="n"/>
    </row>
    <row r="383">
      <c r="A383" s="236" t="n"/>
      <c r="B383" s="165" t="n"/>
      <c r="C383" s="248" t="n"/>
      <c r="D383" s="110">
        <f>B383*C383</f>
        <v/>
      </c>
      <c r="E383" s="236" t="n"/>
      <c r="F383" s="110">
        <f>D383+E383</f>
        <v/>
      </c>
      <c r="G383" s="195" t="n"/>
      <c r="H383" s="236" t="n"/>
      <c r="I383" s="118" t="n"/>
    </row>
    <row r="384">
      <c r="A384" s="236" t="n"/>
      <c r="B384" s="165" t="n"/>
      <c r="C384" s="248" t="n"/>
      <c r="D384" s="110">
        <f>B384*C384</f>
        <v/>
      </c>
      <c r="E384" s="236" t="n"/>
      <c r="F384" s="110">
        <f>D384+E384</f>
        <v/>
      </c>
      <c r="G384" s="195" t="n"/>
      <c r="H384" s="236" t="n"/>
      <c r="I384" s="118" t="n"/>
    </row>
    <row r="385">
      <c r="A385" s="236" t="n"/>
      <c r="B385" s="165" t="n"/>
      <c r="C385" s="248" t="n"/>
      <c r="D385" s="110">
        <f>B385*C385</f>
        <v/>
      </c>
      <c r="E385" s="236" t="n"/>
      <c r="F385" s="110">
        <f>D385+E385</f>
        <v/>
      </c>
      <c r="G385" s="195" t="n"/>
      <c r="H385" s="236" t="n"/>
      <c r="I385" s="118" t="n"/>
    </row>
    <row r="386">
      <c r="A386" s="236" t="n"/>
      <c r="B386" s="165" t="n"/>
      <c r="C386" s="248" t="n"/>
      <c r="D386" s="110">
        <f>B386*C386</f>
        <v/>
      </c>
      <c r="E386" s="236" t="n"/>
      <c r="F386" s="110">
        <f>D386+E386</f>
        <v/>
      </c>
      <c r="G386" s="195" t="n"/>
      <c r="H386" s="236" t="n"/>
      <c r="I386" s="118" t="n"/>
    </row>
    <row r="387">
      <c r="A387" s="236" t="n"/>
      <c r="B387" s="165" t="n"/>
      <c r="C387" s="248" t="n"/>
      <c r="D387" s="110">
        <f>B387*C387</f>
        <v/>
      </c>
      <c r="E387" s="236" t="n"/>
      <c r="F387" s="110">
        <f>D387+E387</f>
        <v/>
      </c>
      <c r="G387" s="195" t="n"/>
      <c r="H387" s="236" t="n"/>
      <c r="I387" s="118" t="n"/>
    </row>
    <row r="388">
      <c r="A388" s="236" t="n"/>
      <c r="B388" s="165" t="n"/>
      <c r="C388" s="248" t="n"/>
      <c r="D388" s="110">
        <f>B388*C388</f>
        <v/>
      </c>
      <c r="E388" s="236" t="n"/>
      <c r="F388" s="110">
        <f>D388+E388</f>
        <v/>
      </c>
      <c r="G388" s="195" t="n"/>
      <c r="H388" s="236" t="n"/>
      <c r="I388" s="118" t="n"/>
    </row>
    <row r="389">
      <c r="A389" s="236" t="n"/>
      <c r="B389" s="165" t="n"/>
      <c r="C389" s="248" t="n"/>
      <c r="D389" s="110">
        <f>B389*C389</f>
        <v/>
      </c>
      <c r="E389" s="236" t="n"/>
      <c r="F389" s="110">
        <f>D389+E389</f>
        <v/>
      </c>
      <c r="G389" s="195" t="n"/>
      <c r="H389" s="236" t="n"/>
      <c r="I389" s="118" t="n"/>
    </row>
    <row r="390">
      <c r="A390" s="236" t="n"/>
      <c r="B390" s="165" t="n"/>
      <c r="C390" s="248" t="n"/>
      <c r="D390" s="110">
        <f>B390*C390</f>
        <v/>
      </c>
      <c r="E390" s="236" t="n"/>
      <c r="F390" s="110">
        <f>D390+E390</f>
        <v/>
      </c>
      <c r="G390" s="195" t="n"/>
      <c r="H390" s="236" t="n"/>
      <c r="I390" s="118" t="n"/>
    </row>
    <row r="391">
      <c r="A391" s="236" t="n"/>
      <c r="B391" s="165" t="n"/>
      <c r="C391" s="248" t="n"/>
      <c r="D391" s="110">
        <f>B391*C391</f>
        <v/>
      </c>
      <c r="E391" s="236" t="n"/>
      <c r="F391" s="110">
        <f>D391+E391</f>
        <v/>
      </c>
      <c r="G391" s="195" t="n"/>
      <c r="H391" s="236" t="n"/>
      <c r="I391" s="118" t="n"/>
    </row>
    <row r="392">
      <c r="A392" s="236" t="n"/>
      <c r="B392" s="165" t="n"/>
      <c r="C392" s="248" t="n"/>
      <c r="D392" s="110">
        <f>B392*C392</f>
        <v/>
      </c>
      <c r="E392" s="236" t="n"/>
      <c r="F392" s="110">
        <f>D392+E392</f>
        <v/>
      </c>
      <c r="G392" s="195" t="n"/>
      <c r="H392" s="236" t="n"/>
      <c r="I392" s="118" t="n"/>
    </row>
    <row r="393">
      <c r="A393" s="236" t="n"/>
      <c r="B393" s="165" t="n"/>
      <c r="C393" s="248" t="n"/>
      <c r="D393" s="110">
        <f>B393*C393</f>
        <v/>
      </c>
      <c r="E393" s="236" t="n"/>
      <c r="F393" s="110">
        <f>D393+E393</f>
        <v/>
      </c>
      <c r="G393" s="195" t="n"/>
      <c r="H393" s="236" t="n"/>
      <c r="I393" s="118" t="n"/>
    </row>
    <row r="394">
      <c r="A394" s="236" t="n"/>
      <c r="B394" s="165" t="n"/>
      <c r="C394" s="248" t="n"/>
      <c r="D394" s="110">
        <f>B394*C394</f>
        <v/>
      </c>
      <c r="E394" s="236" t="n"/>
      <c r="F394" s="110">
        <f>D394+E394</f>
        <v/>
      </c>
      <c r="G394" s="195" t="n"/>
      <c r="H394" s="236" t="n"/>
      <c r="I394" s="118" t="n"/>
    </row>
    <row r="395">
      <c r="A395" s="236" t="n"/>
      <c r="B395" s="236" t="n"/>
      <c r="C395" s="248" t="n"/>
      <c r="D395" s="110">
        <f>B395*C395</f>
        <v/>
      </c>
      <c r="E395" s="236" t="n"/>
      <c r="F395" s="110">
        <f>D395+E395</f>
        <v/>
      </c>
      <c r="G395" s="195" t="n"/>
      <c r="H395" s="236" t="n"/>
      <c r="I395" s="118" t="n"/>
    </row>
    <row r="396">
      <c r="A396" s="236" t="n"/>
      <c r="B396" s="236" t="n"/>
      <c r="C396" s="248" t="n"/>
      <c r="D396" s="110">
        <f>B396*C396</f>
        <v/>
      </c>
      <c r="E396" s="236" t="n"/>
      <c r="F396" s="110">
        <f>D396+E396</f>
        <v/>
      </c>
      <c r="G396" s="195" t="n"/>
      <c r="H396" s="236" t="n"/>
      <c r="I396" s="118" t="n"/>
    </row>
    <row r="397">
      <c r="A397" s="236" t="n"/>
      <c r="B397" s="236" t="n"/>
      <c r="C397" s="248" t="n"/>
      <c r="D397" s="110">
        <f>B397*C397</f>
        <v/>
      </c>
      <c r="E397" s="236" t="n"/>
      <c r="F397" s="110">
        <f>D397+E397</f>
        <v/>
      </c>
      <c r="G397" s="195" t="n"/>
      <c r="H397" s="236" t="n"/>
      <c r="I397" s="118" t="n"/>
    </row>
    <row r="398">
      <c r="A398" s="236" t="n"/>
      <c r="B398" s="236" t="n"/>
      <c r="C398" s="248" t="n"/>
      <c r="D398" s="110">
        <f>B398*C398</f>
        <v/>
      </c>
      <c r="E398" s="236" t="n"/>
      <c r="F398" s="110">
        <f>D398+E398</f>
        <v/>
      </c>
      <c r="G398" s="195" t="n"/>
      <c r="H398" s="236" t="n"/>
      <c r="I398" s="118" t="n"/>
    </row>
    <row r="399">
      <c r="A399" s="236" t="n"/>
      <c r="B399" s="236" t="n"/>
      <c r="C399" s="248" t="n"/>
      <c r="D399" s="110">
        <f>B399*C399</f>
        <v/>
      </c>
      <c r="E399" s="236" t="n"/>
      <c r="F399" s="110">
        <f>D399+E399</f>
        <v/>
      </c>
      <c r="G399" s="195" t="n"/>
      <c r="H399" s="236" t="n"/>
      <c r="I399" s="118" t="n"/>
    </row>
    <row r="400">
      <c r="A400" s="236" t="n"/>
      <c r="B400" s="236" t="n"/>
      <c r="C400" s="248" t="n"/>
      <c r="D400" s="110">
        <f>B400*C400</f>
        <v/>
      </c>
      <c r="E400" s="236" t="n"/>
      <c r="F400" s="110">
        <f>D400+E400</f>
        <v/>
      </c>
      <c r="G400" s="195" t="n"/>
      <c r="H400" s="236" t="n"/>
      <c r="I400" s="118" t="n"/>
    </row>
    <row r="401">
      <c r="A401" s="236" t="n"/>
      <c r="B401" s="236" t="n"/>
      <c r="C401" s="248" t="n"/>
      <c r="D401" s="110">
        <f>B401*C401</f>
        <v/>
      </c>
      <c r="E401" s="236" t="n"/>
      <c r="F401" s="110">
        <f>D401+E401</f>
        <v/>
      </c>
      <c r="G401" s="195" t="n"/>
      <c r="H401" s="236" t="n"/>
      <c r="I401" s="118" t="n"/>
    </row>
    <row r="402">
      <c r="A402" s="236" t="n"/>
      <c r="B402" s="236" t="n"/>
      <c r="C402" s="248" t="n"/>
      <c r="D402" s="110">
        <f>B402*C402</f>
        <v/>
      </c>
      <c r="E402" s="236" t="n"/>
      <c r="F402" s="110">
        <f>D402+E402</f>
        <v/>
      </c>
      <c r="G402" s="195" t="n"/>
      <c r="H402" s="236" t="n"/>
      <c r="I402" s="118" t="n"/>
    </row>
    <row r="403">
      <c r="A403" s="236" t="n"/>
      <c r="B403" s="236" t="n"/>
      <c r="C403" s="248" t="n"/>
      <c r="D403" s="110">
        <f>B403*C403</f>
        <v/>
      </c>
      <c r="E403" s="236" t="n"/>
      <c r="F403" s="110">
        <f>D403+E403</f>
        <v/>
      </c>
      <c r="G403" s="195" t="n"/>
      <c r="H403" s="236" t="n"/>
      <c r="I403" s="118" t="n"/>
    </row>
    <row r="404">
      <c r="A404" s="236" t="n"/>
      <c r="B404" s="236" t="n"/>
      <c r="C404" s="248" t="n"/>
      <c r="D404" s="110">
        <f>B404*C404</f>
        <v/>
      </c>
      <c r="E404" s="236" t="n"/>
      <c r="F404" s="110">
        <f>D404+E404</f>
        <v/>
      </c>
      <c r="G404" s="195" t="n"/>
      <c r="H404" s="236" t="n"/>
      <c r="I404" s="118" t="n"/>
    </row>
    <row r="405">
      <c r="A405" s="236" t="n"/>
      <c r="B405" s="236" t="n"/>
      <c r="C405" s="248" t="n"/>
      <c r="D405" s="110">
        <f>B405*C405</f>
        <v/>
      </c>
      <c r="E405" s="236" t="n"/>
      <c r="F405" s="110">
        <f>D405+E405</f>
        <v/>
      </c>
      <c r="G405" s="195" t="n"/>
      <c r="H405" s="236" t="n"/>
      <c r="I405" s="118" t="n"/>
    </row>
    <row r="406">
      <c r="A406" s="236" t="n"/>
      <c r="B406" s="236" t="n"/>
      <c r="C406" s="248" t="n"/>
      <c r="D406" s="110">
        <f>B406*C406</f>
        <v/>
      </c>
      <c r="E406" s="236" t="n"/>
      <c r="F406" s="110">
        <f>D406+E406</f>
        <v/>
      </c>
      <c r="G406" s="195" t="n"/>
      <c r="H406" s="236" t="n"/>
      <c r="I406" s="118" t="n"/>
    </row>
    <row r="407">
      <c r="A407" s="236" t="n"/>
      <c r="B407" s="236" t="n"/>
      <c r="C407" s="248" t="n"/>
      <c r="D407" s="110">
        <f>B407*C407</f>
        <v/>
      </c>
      <c r="E407" s="236" t="n"/>
      <c r="F407" s="110">
        <f>D407+E407</f>
        <v/>
      </c>
      <c r="G407" s="195" t="n"/>
      <c r="H407" s="236" t="n"/>
      <c r="I407" s="118" t="n"/>
    </row>
    <row r="408">
      <c r="A408" s="208" t="n"/>
      <c r="B408" s="208" t="n"/>
      <c r="C408" s="284" t="n"/>
      <c r="D408" s="110">
        <f>B408*C408</f>
        <v/>
      </c>
      <c r="E408" s="236" t="n"/>
      <c r="F408" s="110">
        <f>D408+E408</f>
        <v/>
      </c>
      <c r="G408" s="195" t="n"/>
      <c r="H408" s="236" t="n"/>
      <c r="I408" s="118" t="n"/>
    </row>
    <row r="409">
      <c r="A409" s="208" t="n"/>
      <c r="B409" s="208" t="n"/>
      <c r="C409" s="284" t="n"/>
      <c r="D409" s="110">
        <f>B409*C409</f>
        <v/>
      </c>
      <c r="E409" s="236" t="n"/>
      <c r="F409" s="110">
        <f>D409+E409</f>
        <v/>
      </c>
      <c r="G409" s="195" t="n"/>
      <c r="H409" s="236" t="n"/>
      <c r="I409" s="118" t="n"/>
    </row>
    <row r="410">
      <c r="A410" s="208" t="n"/>
      <c r="B410" s="208" t="n"/>
      <c r="C410" s="284" t="n"/>
      <c r="D410" s="110">
        <f>B410*C410</f>
        <v/>
      </c>
      <c r="E410" s="236" t="n"/>
      <c r="F410" s="110">
        <f>D410+E410</f>
        <v/>
      </c>
      <c r="G410" s="195" t="n"/>
      <c r="H410" s="236" t="n"/>
      <c r="I410" s="118" t="n"/>
    </row>
    <row r="411">
      <c r="A411" s="208" t="n"/>
      <c r="B411" s="208" t="n"/>
      <c r="C411" s="284" t="n"/>
      <c r="D411" s="110">
        <f>B411*C411</f>
        <v/>
      </c>
      <c r="E411" s="236" t="n"/>
      <c r="F411" s="110">
        <f>D411+E411</f>
        <v/>
      </c>
      <c r="G411" s="195" t="n"/>
      <c r="H411" s="236" t="n"/>
      <c r="I411" s="118" t="n"/>
    </row>
    <row r="412">
      <c r="A412" s="208" t="n"/>
      <c r="B412" s="208" t="n"/>
      <c r="C412" s="284" t="n"/>
      <c r="D412" s="110">
        <f>B412*C412</f>
        <v/>
      </c>
      <c r="E412" s="236" t="n"/>
      <c r="F412" s="110">
        <f>D412+E412</f>
        <v/>
      </c>
      <c r="G412" s="195" t="n"/>
      <c r="H412" s="236" t="n"/>
      <c r="I412" s="118" t="n"/>
    </row>
    <row r="413">
      <c r="A413" s="208" t="n"/>
      <c r="B413" s="208" t="n"/>
      <c r="C413" s="284" t="n"/>
      <c r="D413" s="110">
        <f>B413*C413</f>
        <v/>
      </c>
      <c r="E413" s="236" t="n"/>
      <c r="F413" s="110">
        <f>D413+E413</f>
        <v/>
      </c>
      <c r="G413" s="195" t="n"/>
      <c r="H413" s="236" t="n"/>
      <c r="I413" s="118" t="n"/>
    </row>
    <row r="414">
      <c r="A414" s="208" t="n"/>
      <c r="B414" s="208" t="n"/>
      <c r="C414" s="284" t="n"/>
      <c r="D414" s="110">
        <f>B414*C414</f>
        <v/>
      </c>
      <c r="E414" s="236" t="n"/>
      <c r="F414" s="110">
        <f>D414+E414</f>
        <v/>
      </c>
      <c r="G414" s="195" t="n"/>
      <c r="H414" s="236" t="n"/>
      <c r="I414" s="118" t="n"/>
    </row>
    <row r="415">
      <c r="A415" s="208" t="n"/>
      <c r="B415" s="208" t="n"/>
      <c r="C415" s="284" t="n"/>
      <c r="D415" s="110">
        <f>B415*C415</f>
        <v/>
      </c>
      <c r="E415" s="236" t="n"/>
      <c r="F415" s="110">
        <f>D415+E415</f>
        <v/>
      </c>
      <c r="G415" s="195" t="n"/>
      <c r="H415" s="236" t="n"/>
      <c r="I415" s="118" t="n"/>
    </row>
    <row r="416">
      <c r="A416" s="208" t="n"/>
      <c r="B416" s="208" t="n"/>
      <c r="C416" s="284" t="n"/>
      <c r="D416" s="110">
        <f>B416*C416</f>
        <v/>
      </c>
      <c r="E416" s="248" t="n"/>
      <c r="F416" s="110">
        <f>D416+E416</f>
        <v/>
      </c>
      <c r="G416" s="195" t="n"/>
      <c r="H416" s="236" t="n"/>
      <c r="I416" s="118" t="n"/>
    </row>
    <row r="417">
      <c r="A417" s="208" t="n"/>
      <c r="B417" s="208" t="n"/>
      <c r="C417" s="284" t="n"/>
      <c r="D417" s="110">
        <f>B417*C417</f>
        <v/>
      </c>
      <c r="E417" s="248" t="n"/>
      <c r="F417" s="110">
        <f>D417+E417</f>
        <v/>
      </c>
      <c r="G417" s="195" t="n"/>
      <c r="H417" s="236" t="n"/>
      <c r="I417" s="118" t="n"/>
    </row>
    <row r="418">
      <c r="A418" s="208" t="n"/>
      <c r="B418" s="208" t="n"/>
      <c r="C418" s="284" t="n"/>
      <c r="D418" s="110">
        <f>B418*C418</f>
        <v/>
      </c>
      <c r="E418" s="248" t="n"/>
      <c r="F418" s="110">
        <f>D418+E418</f>
        <v/>
      </c>
      <c r="G418" s="195" t="n"/>
      <c r="H418" s="236" t="n"/>
      <c r="I418" s="118" t="n"/>
    </row>
    <row r="419">
      <c r="A419" s="208" t="n"/>
      <c r="B419" s="208" t="n"/>
      <c r="C419" s="284" t="n"/>
      <c r="D419" s="110">
        <f>B419*C419</f>
        <v/>
      </c>
      <c r="E419" s="248" t="n"/>
      <c r="F419" s="110">
        <f>D419+E419</f>
        <v/>
      </c>
      <c r="G419" s="195" t="n"/>
      <c r="H419" s="236" t="n"/>
      <c r="I419" s="118" t="n"/>
    </row>
    <row r="420">
      <c r="A420" s="208" t="n"/>
      <c r="B420" s="208" t="n"/>
      <c r="C420" s="284" t="n"/>
      <c r="D420" s="110">
        <f>B420*C420</f>
        <v/>
      </c>
      <c r="E420" s="248" t="n"/>
      <c r="F420" s="110">
        <f>D420+E420</f>
        <v/>
      </c>
      <c r="G420" s="195" t="n"/>
      <c r="H420" s="236" t="n"/>
      <c r="I420" s="118" t="n"/>
    </row>
    <row r="421">
      <c r="A421" s="236" t="n"/>
      <c r="B421" s="236" t="n"/>
      <c r="C421" s="248" t="n"/>
      <c r="D421" s="110">
        <f>B421*C421</f>
        <v/>
      </c>
      <c r="E421" s="248" t="n"/>
      <c r="F421" s="110">
        <f>D421+E421</f>
        <v/>
      </c>
      <c r="G421" s="195" t="n"/>
      <c r="H421" s="236" t="n"/>
      <c r="I421" s="118" t="n"/>
    </row>
    <row r="422">
      <c r="A422" s="236" t="n"/>
      <c r="B422" s="236" t="n"/>
      <c r="C422" s="248" t="n"/>
      <c r="D422" s="110">
        <f>B422*C422</f>
        <v/>
      </c>
      <c r="E422" s="248" t="n"/>
      <c r="F422" s="110">
        <f>D422+E422</f>
        <v/>
      </c>
      <c r="G422" s="195" t="n"/>
      <c r="H422" s="236" t="n"/>
      <c r="I422" s="118" t="n"/>
    </row>
    <row r="423">
      <c r="A423" s="200" t="n"/>
      <c r="B423" s="236" t="n"/>
      <c r="C423" s="248" t="n"/>
      <c r="D423" s="110">
        <f>B423*C423</f>
        <v/>
      </c>
      <c r="E423" s="248" t="n"/>
      <c r="F423" s="110">
        <f>D423+E423</f>
        <v/>
      </c>
      <c r="G423" s="195" t="n"/>
      <c r="H423" s="236" t="n"/>
      <c r="I423" s="118" t="n"/>
    </row>
    <row r="424">
      <c r="A424" s="200" t="n"/>
      <c r="B424" s="236" t="n"/>
      <c r="C424" s="248" t="n"/>
      <c r="D424" s="110">
        <f>B424*C424</f>
        <v/>
      </c>
      <c r="E424" s="248" t="n"/>
      <c r="F424" s="110">
        <f>D424+E424</f>
        <v/>
      </c>
      <c r="G424" s="195" t="n"/>
      <c r="H424" s="236" t="n"/>
      <c r="I424" s="118" t="n"/>
    </row>
    <row r="425">
      <c r="A425" s="236" t="n"/>
      <c r="B425" s="236" t="n"/>
      <c r="C425" s="248" t="n"/>
      <c r="D425" s="110">
        <f>B425*C425</f>
        <v/>
      </c>
      <c r="E425" s="248" t="n"/>
      <c r="F425" s="110">
        <f>D425+E425</f>
        <v/>
      </c>
      <c r="G425" s="195" t="n"/>
      <c r="H425" s="236" t="n"/>
      <c r="I425" s="118" t="n"/>
    </row>
    <row r="426">
      <c r="A426" s="236" t="n"/>
      <c r="B426" s="236" t="n"/>
      <c r="C426" s="248" t="n"/>
      <c r="D426" s="110">
        <f>B426*C426</f>
        <v/>
      </c>
      <c r="E426" s="248" t="n"/>
      <c r="F426" s="110">
        <f>D426+E426</f>
        <v/>
      </c>
      <c r="G426" s="195" t="n"/>
      <c r="H426" s="236" t="n"/>
      <c r="I426" s="118" t="n"/>
    </row>
    <row r="427">
      <c r="A427" s="236" t="n"/>
      <c r="B427" s="236" t="n"/>
      <c r="C427" s="248" t="n"/>
      <c r="D427" s="110">
        <f>B427*C427</f>
        <v/>
      </c>
      <c r="E427" s="248" t="n"/>
      <c r="F427" s="110">
        <f>D427+E427</f>
        <v/>
      </c>
      <c r="G427" s="195" t="n"/>
      <c r="H427" s="236" t="n"/>
      <c r="I427" s="118" t="n"/>
    </row>
    <row r="428">
      <c r="A428" s="236" t="n"/>
      <c r="B428" s="236" t="n"/>
      <c r="C428" s="248" t="n"/>
      <c r="D428" s="110">
        <f>B428*C428</f>
        <v/>
      </c>
      <c r="E428" s="248" t="n"/>
      <c r="F428" s="110">
        <f>D428+E428</f>
        <v/>
      </c>
      <c r="G428" s="195" t="n"/>
      <c r="H428" s="236" t="n"/>
      <c r="I428" s="118" t="n"/>
    </row>
    <row r="429">
      <c r="A429" s="236" t="n"/>
      <c r="B429" s="236" t="n"/>
      <c r="C429" s="248" t="n"/>
      <c r="D429" s="110">
        <f>B429*C429</f>
        <v/>
      </c>
      <c r="E429" s="248" t="n"/>
      <c r="F429" s="110">
        <f>D429+E429</f>
        <v/>
      </c>
      <c r="G429" s="195" t="n"/>
      <c r="H429" s="236" t="n"/>
      <c r="I429" s="118" t="n"/>
    </row>
    <row r="430">
      <c r="A430" s="236" t="n"/>
      <c r="B430" s="236" t="n"/>
      <c r="C430" s="248" t="n"/>
      <c r="D430" s="110">
        <f>B430*C430</f>
        <v/>
      </c>
      <c r="E430" s="248" t="n"/>
      <c r="F430" s="110">
        <f>D430+E430</f>
        <v/>
      </c>
      <c r="G430" s="195" t="n"/>
      <c r="H430" s="236" t="n"/>
      <c r="I430" s="118" t="n"/>
    </row>
    <row r="431">
      <c r="A431" s="236" t="n"/>
      <c r="B431" s="236" t="n"/>
      <c r="C431" s="248" t="n"/>
      <c r="D431" s="110">
        <f>B431*C431</f>
        <v/>
      </c>
      <c r="E431" s="248" t="n"/>
      <c r="F431" s="110">
        <f>D431+E431</f>
        <v/>
      </c>
      <c r="G431" s="195" t="n"/>
      <c r="H431" s="236" t="n"/>
      <c r="I431" s="118" t="n"/>
    </row>
    <row r="432">
      <c r="A432" s="236" t="n"/>
      <c r="B432" s="236" t="n"/>
      <c r="C432" s="248" t="n"/>
      <c r="D432" s="110">
        <f>B432*C432</f>
        <v/>
      </c>
      <c r="E432" s="248" t="n"/>
      <c r="F432" s="110">
        <f>D432+E432</f>
        <v/>
      </c>
      <c r="G432" s="195" t="n"/>
      <c r="H432" s="236" t="n"/>
      <c r="I432" s="118" t="n"/>
    </row>
    <row r="433">
      <c r="A433" s="236" t="n"/>
      <c r="B433" s="236" t="n"/>
      <c r="C433" s="248" t="n"/>
      <c r="D433" s="110">
        <f>B433*C433</f>
        <v/>
      </c>
      <c r="E433" s="248" t="n"/>
      <c r="F433" s="110">
        <f>D433+E433</f>
        <v/>
      </c>
      <c r="G433" s="195" t="n"/>
      <c r="H433" s="236" t="n"/>
      <c r="I433" s="118" t="n"/>
    </row>
    <row r="434">
      <c r="A434" s="236" t="n"/>
      <c r="B434" s="236" t="n"/>
      <c r="C434" s="248" t="n"/>
      <c r="D434" s="110">
        <f>B434*C434</f>
        <v/>
      </c>
      <c r="E434" s="248" t="n"/>
      <c r="F434" s="110">
        <f>D434+E434</f>
        <v/>
      </c>
      <c r="G434" s="195" t="n"/>
      <c r="H434" s="236" t="n"/>
      <c r="I434" s="118" t="n"/>
    </row>
    <row r="435">
      <c r="A435" s="236" t="n"/>
      <c r="B435" s="236" t="n"/>
      <c r="C435" s="248" t="n"/>
      <c r="D435" s="110">
        <f>B435*C435</f>
        <v/>
      </c>
      <c r="E435" s="248" t="n"/>
      <c r="F435" s="110">
        <f>D435+E435</f>
        <v/>
      </c>
      <c r="G435" s="195" t="n"/>
      <c r="H435" s="236" t="n"/>
      <c r="I435" s="118" t="n"/>
    </row>
    <row r="436">
      <c r="A436" s="236" t="n"/>
      <c r="B436" s="236" t="n"/>
      <c r="C436" s="248" t="n"/>
      <c r="D436" s="110">
        <f>B436*C436</f>
        <v/>
      </c>
      <c r="E436" s="248" t="n"/>
      <c r="F436" s="110">
        <f>D436+E436</f>
        <v/>
      </c>
      <c r="G436" s="195" t="n"/>
      <c r="H436" s="236" t="n"/>
      <c r="I436" s="118" t="n"/>
    </row>
    <row r="437">
      <c r="A437" s="236" t="n"/>
      <c r="B437" s="236" t="n"/>
      <c r="C437" s="248" t="n"/>
      <c r="D437" s="110">
        <f>B437*C437</f>
        <v/>
      </c>
      <c r="E437" s="248" t="n"/>
      <c r="F437" s="110">
        <f>D437+E437</f>
        <v/>
      </c>
      <c r="G437" s="195" t="n"/>
      <c r="H437" s="236" t="n"/>
      <c r="I437" s="118" t="n"/>
    </row>
    <row r="438">
      <c r="A438" s="236" t="n"/>
      <c r="B438" s="236" t="n"/>
      <c r="C438" s="248" t="n"/>
      <c r="D438" s="110">
        <f>B438*C438</f>
        <v/>
      </c>
      <c r="E438" s="248" t="n"/>
      <c r="F438" s="110">
        <f>D438+E438</f>
        <v/>
      </c>
      <c r="G438" s="165" t="n"/>
      <c r="H438" s="236" t="n"/>
      <c r="I438" s="118" t="n"/>
    </row>
    <row r="439">
      <c r="A439" s="236" t="n"/>
      <c r="B439" s="236" t="n"/>
      <c r="C439" s="248" t="n"/>
      <c r="D439" s="110">
        <f>B439*C439</f>
        <v/>
      </c>
      <c r="E439" s="248" t="n"/>
      <c r="F439" s="110">
        <f>D439+E439</f>
        <v/>
      </c>
      <c r="G439" s="195" t="n"/>
      <c r="H439" s="236" t="n"/>
      <c r="I439" s="118" t="n"/>
    </row>
    <row r="440">
      <c r="A440" s="200" t="n"/>
      <c r="B440" s="236" t="n"/>
      <c r="C440" s="248" t="n"/>
      <c r="D440" s="110">
        <f>B440*C440</f>
        <v/>
      </c>
      <c r="E440" s="248" t="n"/>
      <c r="F440" s="110">
        <f>D440+E440</f>
        <v/>
      </c>
      <c r="G440" s="195" t="n"/>
      <c r="H440" s="236" t="n"/>
      <c r="I440" s="118" t="n"/>
    </row>
    <row r="441">
      <c r="A441" s="236" t="n"/>
      <c r="B441" s="236" t="n"/>
      <c r="C441" s="248" t="n"/>
      <c r="D441" s="110">
        <f>B441*C441</f>
        <v/>
      </c>
      <c r="E441" s="248" t="n"/>
      <c r="F441" s="110">
        <f>D441+E441</f>
        <v/>
      </c>
      <c r="G441" s="195" t="n"/>
      <c r="H441" s="236" t="n"/>
      <c r="I441" s="118" t="n"/>
    </row>
    <row r="442">
      <c r="A442" s="236" t="n"/>
      <c r="B442" s="236" t="n"/>
      <c r="C442" s="248" t="n"/>
      <c r="D442" s="110">
        <f>B442*C442</f>
        <v/>
      </c>
      <c r="E442" s="248" t="n"/>
      <c r="F442" s="110">
        <f>D442+E442</f>
        <v/>
      </c>
      <c r="G442" s="195" t="n"/>
      <c r="H442" s="236" t="n"/>
      <c r="I442" s="118" t="n"/>
    </row>
    <row r="443">
      <c r="A443" s="236" t="n"/>
      <c r="B443" s="236" t="n"/>
      <c r="C443" s="248" t="n"/>
      <c r="D443" s="110">
        <f>B443*C443</f>
        <v/>
      </c>
      <c r="E443" s="248" t="n"/>
      <c r="F443" s="110">
        <f>D443+E443</f>
        <v/>
      </c>
      <c r="G443" s="195" t="n"/>
      <c r="H443" s="236" t="n"/>
      <c r="I443" s="118" t="n"/>
    </row>
    <row r="444">
      <c r="A444" s="236" t="n"/>
      <c r="B444" s="236" t="n"/>
      <c r="C444" s="248" t="n"/>
      <c r="D444" s="110">
        <f>B444*C444</f>
        <v/>
      </c>
      <c r="E444" s="248" t="n"/>
      <c r="F444" s="110">
        <f>D444+E444</f>
        <v/>
      </c>
      <c r="G444" s="195" t="n"/>
      <c r="H444" s="236" t="n"/>
      <c r="I444" s="118" t="n"/>
    </row>
    <row r="445">
      <c r="A445" s="236" t="n"/>
      <c r="B445" s="236" t="n"/>
      <c r="C445" s="248" t="n"/>
      <c r="D445" s="110">
        <f>B445*C445</f>
        <v/>
      </c>
      <c r="E445" s="248" t="n"/>
      <c r="F445" s="110">
        <f>D445+E445</f>
        <v/>
      </c>
      <c r="G445" s="195" t="n"/>
      <c r="H445" s="236" t="n"/>
      <c r="I445" s="118" t="n"/>
    </row>
    <row r="446">
      <c r="A446" s="236" t="n"/>
      <c r="B446" s="236" t="n"/>
      <c r="C446" s="248" t="n"/>
      <c r="D446" s="110">
        <f>B446*C446</f>
        <v/>
      </c>
      <c r="E446" s="248" t="n"/>
      <c r="F446" s="110">
        <f>D446+E446</f>
        <v/>
      </c>
      <c r="G446" s="195" t="n"/>
      <c r="H446" s="236" t="n"/>
      <c r="I446" s="118" t="n"/>
    </row>
    <row r="447">
      <c r="A447" s="236" t="n"/>
      <c r="B447" s="236" t="n"/>
      <c r="C447" s="248" t="n"/>
      <c r="D447" s="110">
        <f>B447*C447</f>
        <v/>
      </c>
      <c r="E447" s="248" t="n"/>
      <c r="F447" s="110">
        <f>D447+E447</f>
        <v/>
      </c>
      <c r="G447" s="195" t="n"/>
      <c r="H447" s="236" t="n"/>
      <c r="I447" s="118" t="n"/>
    </row>
    <row r="448">
      <c r="A448" s="200" t="n"/>
      <c r="B448" s="236" t="n"/>
      <c r="C448" s="248" t="n"/>
      <c r="D448" s="110">
        <f>B448*C448</f>
        <v/>
      </c>
      <c r="E448" s="236" t="n"/>
      <c r="F448" s="110">
        <f>D448+E448</f>
        <v/>
      </c>
      <c r="G448" s="195" t="n"/>
      <c r="H448" s="236" t="n"/>
      <c r="I448" s="118" t="n"/>
    </row>
    <row r="449">
      <c r="A449" s="236" t="n"/>
      <c r="B449" s="236" t="n"/>
      <c r="C449" s="248" t="n"/>
      <c r="D449" s="110">
        <f>B449*C449</f>
        <v/>
      </c>
      <c r="E449" s="236" t="n"/>
      <c r="F449" s="110">
        <f>D449+E449</f>
        <v/>
      </c>
      <c r="G449" s="195" t="n"/>
      <c r="H449" s="236" t="n"/>
      <c r="I449" s="118" t="n"/>
    </row>
    <row r="450">
      <c r="A450" s="236" t="n"/>
      <c r="B450" s="236" t="n"/>
      <c r="C450" s="248" t="n"/>
      <c r="D450" s="110">
        <f>B450*C450</f>
        <v/>
      </c>
      <c r="E450" s="236" t="n"/>
      <c r="F450" s="110">
        <f>D450+E450</f>
        <v/>
      </c>
      <c r="G450" s="165" t="n"/>
      <c r="H450" s="236" t="n"/>
      <c r="I450" s="118" t="n"/>
    </row>
    <row r="451">
      <c r="A451" s="236" t="n"/>
      <c r="B451" s="236" t="n"/>
      <c r="C451" s="236" t="n"/>
      <c r="D451" s="110">
        <f>B451*C451</f>
        <v/>
      </c>
      <c r="E451" s="236" t="n"/>
      <c r="F451" s="110">
        <f>D451+E451</f>
        <v/>
      </c>
      <c r="G451" s="165" t="n"/>
      <c r="H451" s="236" t="n"/>
      <c r="I451" s="118" t="n"/>
    </row>
    <row r="452">
      <c r="A452" s="236" t="n"/>
      <c r="B452" s="236" t="n"/>
      <c r="C452" s="236" t="n"/>
      <c r="D452" s="110">
        <f>B452*C452</f>
        <v/>
      </c>
      <c r="E452" s="236" t="n"/>
      <c r="F452" s="110">
        <f>D452+E452</f>
        <v/>
      </c>
      <c r="G452" s="165" t="n"/>
      <c r="H452" s="236" t="n"/>
      <c r="I452" s="118" t="n"/>
    </row>
    <row r="453">
      <c r="I453" s="152" t="n"/>
    </row>
    <row r="454">
      <c r="I454" s="152" t="n"/>
    </row>
    <row r="455">
      <c r="I455" s="152" t="n"/>
    </row>
    <row r="456">
      <c r="I456" s="152" t="n"/>
    </row>
    <row r="457">
      <c r="I457" s="152" t="n"/>
    </row>
    <row r="458">
      <c r="I458" s="152" t="n"/>
    </row>
    <row r="459">
      <c r="I459" s="152" t="n"/>
    </row>
    <row r="460">
      <c r="I460" s="152" t="n"/>
    </row>
    <row r="461">
      <c r="I461" s="152" t="n"/>
    </row>
    <row r="462">
      <c r="I462" s="152" t="n"/>
    </row>
    <row r="463">
      <c r="I463" s="152" t="n"/>
    </row>
    <row r="464">
      <c r="I464" s="152" t="n"/>
    </row>
    <row r="465">
      <c r="I465" s="152" t="n"/>
    </row>
    <row r="466">
      <c r="I466" s="152" t="n"/>
    </row>
    <row r="467">
      <c r="I467" s="152" t="n"/>
    </row>
    <row r="468">
      <c r="I468" s="152" t="n"/>
    </row>
    <row r="469">
      <c r="I469" s="152" t="n"/>
    </row>
    <row r="470">
      <c r="I470" s="152" t="n"/>
    </row>
    <row r="471">
      <c r="I471" s="152" t="n"/>
    </row>
    <row r="472">
      <c r="I472" s="152" t="n"/>
    </row>
    <row r="473">
      <c r="I473" s="152" t="n"/>
    </row>
    <row r="474">
      <c r="I474" s="152" t="n"/>
    </row>
    <row r="475">
      <c r="I475" s="152" t="n"/>
    </row>
    <row r="476">
      <c r="I476" s="152" t="n"/>
    </row>
    <row r="477">
      <c r="I477" s="152" t="n"/>
    </row>
    <row r="478">
      <c r="I478" s="152" t="n"/>
    </row>
    <row r="479">
      <c r="I479" s="152" t="n"/>
    </row>
    <row r="480">
      <c r="I480" s="152" t="n"/>
    </row>
    <row r="481">
      <c r="I481" s="152" t="n"/>
    </row>
    <row r="482">
      <c r="I482" s="152" t="n"/>
    </row>
    <row r="483">
      <c r="I483" s="152" t="n"/>
    </row>
    <row r="484">
      <c r="I484" s="152" t="n"/>
    </row>
    <row r="485">
      <c r="I485" s="152" t="n"/>
    </row>
    <row r="486">
      <c r="I486" s="152" t="n"/>
    </row>
    <row r="487">
      <c r="I487" s="152" t="n"/>
    </row>
    <row r="488">
      <c r="I488" s="152" t="n"/>
    </row>
    <row r="489">
      <c r="I489" s="152" t="n"/>
    </row>
    <row r="490">
      <c r="I490" s="152" t="n"/>
    </row>
    <row r="491">
      <c r="I491" s="152" t="n"/>
    </row>
    <row r="492">
      <c r="I492" s="152" t="n"/>
    </row>
    <row r="493">
      <c r="I493" s="152" t="n"/>
    </row>
    <row r="494">
      <c r="I494" s="152" t="n"/>
    </row>
    <row r="495">
      <c r="I495" s="152" t="n"/>
    </row>
    <row r="496">
      <c r="I496" s="152" t="n"/>
    </row>
    <row r="497">
      <c r="I497" s="152" t="n"/>
    </row>
    <row r="498">
      <c r="I498" s="152" t="n"/>
    </row>
    <row r="499">
      <c r="I499" s="152" t="n"/>
    </row>
    <row r="500">
      <c r="I500" s="152" t="n"/>
    </row>
    <row r="501">
      <c r="I501" s="152" t="n"/>
    </row>
    <row r="502">
      <c r="I502" s="152" t="n"/>
    </row>
    <row r="503">
      <c r="I503" s="152" t="n"/>
    </row>
    <row r="504">
      <c r="I504" s="152" t="n"/>
    </row>
    <row r="505">
      <c r="I505" s="152" t="n"/>
    </row>
    <row r="506">
      <c r="I506" s="152" t="n"/>
    </row>
    <row r="507">
      <c r="I507" s="152" t="n"/>
    </row>
    <row r="508">
      <c r="I508" s="152" t="n"/>
    </row>
    <row r="509">
      <c r="I509" s="152" t="n"/>
    </row>
    <row r="510">
      <c r="I510" s="152" t="n"/>
    </row>
    <row r="511">
      <c r="I511" s="152" t="n"/>
    </row>
    <row r="512">
      <c r="I512" s="152" t="n"/>
    </row>
    <row r="513">
      <c r="I513" s="152" t="n"/>
    </row>
    <row r="514">
      <c r="I514" s="152" t="n"/>
    </row>
    <row r="515">
      <c r="I515" s="152" t="n"/>
    </row>
    <row r="516">
      <c r="I516" s="152" t="n"/>
    </row>
    <row r="517">
      <c r="I517" s="152" t="n"/>
    </row>
    <row r="518">
      <c r="I518" s="152" t="n"/>
    </row>
    <row r="519">
      <c r="I519" s="152" t="n"/>
    </row>
    <row r="520">
      <c r="I520" s="152" t="n"/>
    </row>
    <row r="521">
      <c r="I521" s="152" t="n"/>
    </row>
    <row r="522">
      <c r="I522" s="152" t="n"/>
    </row>
    <row r="523">
      <c r="I523" s="152" t="n"/>
    </row>
    <row r="524">
      <c r="I524" s="152" t="n"/>
    </row>
    <row r="525">
      <c r="I525" s="152" t="n"/>
    </row>
    <row r="526">
      <c r="I526" s="152" t="n"/>
    </row>
    <row r="527">
      <c r="I527" s="152" t="n"/>
    </row>
    <row r="528">
      <c r="I528" s="152" t="n"/>
    </row>
    <row r="529">
      <c r="I529" s="152" t="n"/>
    </row>
    <row r="530">
      <c r="I530" s="152" t="n"/>
    </row>
    <row r="531">
      <c r="I531" s="152" t="n"/>
    </row>
    <row r="532">
      <c r="I532" s="152" t="n"/>
    </row>
    <row r="533">
      <c r="I533" s="152" t="n"/>
    </row>
    <row r="534">
      <c r="I534" s="152" t="n"/>
    </row>
    <row r="535">
      <c r="I535" s="152" t="n"/>
    </row>
    <row r="536">
      <c r="I536" s="152" t="n"/>
    </row>
    <row r="537">
      <c r="I537" s="152" t="n"/>
    </row>
    <row r="538">
      <c r="I538" s="152" t="n"/>
    </row>
    <row r="539">
      <c r="I539" s="152" t="n"/>
    </row>
    <row r="540">
      <c r="I540" s="152" t="n"/>
    </row>
    <row r="541">
      <c r="I541" s="152" t="n"/>
    </row>
    <row r="542">
      <c r="I542" s="152" t="n"/>
    </row>
    <row r="543">
      <c r="I543" s="152" t="n"/>
    </row>
    <row r="544">
      <c r="I544" s="152" t="n"/>
    </row>
    <row r="545">
      <c r="I545" s="152" t="n"/>
    </row>
    <row r="546">
      <c r="I546" s="152" t="n"/>
    </row>
    <row r="547">
      <c r="I547" s="152" t="n"/>
    </row>
    <row r="548">
      <c r="I548" s="152" t="n"/>
    </row>
    <row r="549">
      <c r="I549" s="152" t="n"/>
    </row>
    <row r="550">
      <c r="I550" s="152" t="n"/>
    </row>
    <row r="551">
      <c r="I551" s="152" t="n"/>
    </row>
    <row r="552">
      <c r="I552" s="152" t="n"/>
    </row>
    <row r="553">
      <c r="I553" s="152" t="n"/>
    </row>
    <row r="554">
      <c r="I554" s="152" t="n"/>
    </row>
    <row r="555">
      <c r="I555" s="152" t="n"/>
    </row>
    <row r="556">
      <c r="I556" s="152" t="n"/>
    </row>
    <row r="557">
      <c r="I557" s="152" t="n"/>
    </row>
    <row r="558">
      <c r="I558" s="152" t="n"/>
    </row>
    <row r="559">
      <c r="I559" s="152" t="n"/>
    </row>
    <row r="560">
      <c r="I560" s="152" t="n"/>
    </row>
    <row r="561">
      <c r="I561" s="152" t="n"/>
    </row>
    <row r="562">
      <c r="I562" s="152" t="n"/>
    </row>
    <row r="563">
      <c r="I563" s="152" t="n"/>
    </row>
    <row r="564">
      <c r="I564" s="152" t="n"/>
    </row>
    <row r="565">
      <c r="I565" s="152" t="n"/>
    </row>
    <row r="566">
      <c r="I566" s="152" t="n"/>
    </row>
    <row r="567">
      <c r="I567" s="152" t="n"/>
    </row>
    <row r="568">
      <c r="I568" s="152" t="n"/>
    </row>
    <row r="569">
      <c r="I569" s="152" t="n"/>
    </row>
    <row r="570">
      <c r="I570" s="152" t="n"/>
    </row>
    <row r="571">
      <c r="I571" s="152" t="n"/>
    </row>
    <row r="572">
      <c r="I572" s="152" t="n"/>
    </row>
    <row r="573">
      <c r="I573" s="152" t="n"/>
    </row>
    <row r="574">
      <c r="I574" s="152" t="n"/>
    </row>
    <row r="575">
      <c r="I575" s="152" t="n"/>
    </row>
    <row r="576">
      <c r="I576" s="152" t="n"/>
    </row>
    <row r="577">
      <c r="I577" s="152" t="n"/>
    </row>
    <row r="578">
      <c r="I578" s="152" t="n"/>
    </row>
    <row r="579">
      <c r="I579" s="152" t="n"/>
    </row>
    <row r="580">
      <c r="I580" s="152" t="n"/>
    </row>
    <row r="581">
      <c r="I581" s="152" t="n"/>
    </row>
    <row r="582">
      <c r="I582" s="152" t="n"/>
    </row>
    <row r="583">
      <c r="I583" s="152" t="n"/>
    </row>
    <row r="584">
      <c r="I584" s="152" t="n"/>
    </row>
    <row r="585">
      <c r="I585" s="152" t="n"/>
    </row>
    <row r="586">
      <c r="I586" s="152" t="n"/>
    </row>
    <row r="587">
      <c r="I587" s="152" t="n"/>
    </row>
    <row r="588">
      <c r="I588" s="152" t="n"/>
    </row>
    <row r="589">
      <c r="I589" s="152" t="n"/>
    </row>
    <row r="590">
      <c r="I590" s="152" t="n"/>
    </row>
    <row r="591">
      <c r="I591" s="152" t="n"/>
    </row>
    <row r="592">
      <c r="I592" s="152" t="n"/>
    </row>
    <row r="593">
      <c r="I593" s="152" t="n"/>
    </row>
    <row r="594">
      <c r="I594" s="152" t="n"/>
    </row>
    <row r="595">
      <c r="I595" s="152" t="n"/>
    </row>
    <row r="596">
      <c r="I596" s="152" t="n"/>
    </row>
    <row r="597">
      <c r="I597" s="152" t="n"/>
    </row>
    <row r="598">
      <c r="I598" s="152" t="n"/>
    </row>
    <row r="599">
      <c r="I599" s="152" t="n"/>
    </row>
    <row r="600">
      <c r="I600" s="152" t="n"/>
    </row>
    <row r="601">
      <c r="I601" s="152" t="n"/>
    </row>
    <row r="602">
      <c r="I602" s="152" t="n"/>
    </row>
    <row r="603">
      <c r="I603" s="152" t="n"/>
    </row>
    <row r="604">
      <c r="I604" s="152" t="n"/>
    </row>
    <row r="605">
      <c r="I605" s="152" t="n"/>
    </row>
    <row r="606">
      <c r="I606" s="152" t="n"/>
    </row>
    <row r="607">
      <c r="I607" s="152" t="n"/>
    </row>
    <row r="608">
      <c r="I608" s="152" t="n"/>
    </row>
    <row r="609">
      <c r="I609" s="152" t="n"/>
    </row>
    <row r="610">
      <c r="I610" s="152" t="n"/>
    </row>
    <row r="611">
      <c r="I611" s="152" t="n"/>
    </row>
    <row r="612">
      <c r="I612" s="152" t="n"/>
    </row>
    <row r="613">
      <c r="I613" s="152" t="n"/>
    </row>
    <row r="614">
      <c r="I614" s="152" t="n"/>
    </row>
    <row r="615">
      <c r="I615" s="152" t="n"/>
    </row>
    <row r="616">
      <c r="I616" s="152" t="n"/>
    </row>
    <row r="617">
      <c r="I617" s="152" t="n"/>
    </row>
    <row r="618">
      <c r="I618" s="152" t="n"/>
    </row>
    <row r="619">
      <c r="I619" s="152" t="n"/>
    </row>
    <row r="620">
      <c r="I620" s="152" t="n"/>
    </row>
    <row r="621">
      <c r="I621" s="152" t="n"/>
    </row>
    <row r="622">
      <c r="I622" s="152" t="n"/>
    </row>
    <row r="623">
      <c r="I623" s="152" t="n"/>
    </row>
    <row r="624">
      <c r="I624" s="152" t="n"/>
    </row>
    <row r="625">
      <c r="I625" s="152" t="n"/>
    </row>
    <row r="626">
      <c r="I626" s="152" t="n"/>
    </row>
    <row r="627">
      <c r="I627" s="152" t="n"/>
    </row>
    <row r="628">
      <c r="I628" s="152" t="n"/>
    </row>
    <row r="629">
      <c r="I629" s="152" t="n"/>
    </row>
    <row r="630">
      <c r="I630" s="152" t="n"/>
    </row>
    <row r="631">
      <c r="I631" s="152" t="n"/>
    </row>
    <row r="632">
      <c r="I632" s="152" t="n"/>
    </row>
    <row r="633">
      <c r="I633" s="152" t="n"/>
    </row>
    <row r="634">
      <c r="I634" s="152" t="n"/>
    </row>
    <row r="635">
      <c r="I635" s="152" t="n"/>
    </row>
    <row r="636">
      <c r="I636" s="152" t="n"/>
    </row>
    <row r="637">
      <c r="I637" s="152" t="n"/>
    </row>
    <row r="638">
      <c r="I638" s="152" t="n"/>
    </row>
    <row r="639">
      <c r="I639" s="152" t="n"/>
    </row>
    <row r="640">
      <c r="I640" s="152" t="n"/>
    </row>
    <row r="641">
      <c r="I641" s="152" t="n"/>
    </row>
    <row r="642">
      <c r="I642" s="152" t="n"/>
    </row>
    <row r="643">
      <c r="I643" s="152" t="n"/>
    </row>
    <row r="644">
      <c r="I644" s="152" t="n"/>
    </row>
    <row r="645">
      <c r="I645" s="152" t="n"/>
    </row>
    <row r="646">
      <c r="I646" s="152" t="n"/>
    </row>
    <row r="647">
      <c r="I647" s="152" t="n"/>
    </row>
    <row r="648">
      <c r="I648" s="152" t="n"/>
    </row>
    <row r="649">
      <c r="I649" s="152" t="n"/>
    </row>
    <row r="650">
      <c r="I650" s="152" t="n"/>
    </row>
    <row r="651">
      <c r="I651" s="152" t="n"/>
    </row>
    <row r="652">
      <c r="I652" s="152" t="n"/>
    </row>
    <row r="653">
      <c r="I653" s="152" t="n"/>
    </row>
    <row r="654">
      <c r="I654" s="152" t="n"/>
    </row>
    <row r="655">
      <c r="I655" s="152" t="n"/>
    </row>
    <row r="656">
      <c r="I656" s="152" t="n"/>
    </row>
    <row r="657">
      <c r="I657" s="152" t="n"/>
    </row>
    <row r="658">
      <c r="I658" s="152" t="n"/>
    </row>
    <row r="659">
      <c r="I659" s="152" t="n"/>
    </row>
    <row r="660">
      <c r="I660" s="152" t="n"/>
    </row>
    <row r="661">
      <c r="I661" s="152" t="n"/>
    </row>
    <row r="662">
      <c r="I662" s="152" t="n"/>
    </row>
    <row r="663">
      <c r="I663" s="152" t="n"/>
    </row>
    <row r="664">
      <c r="I664" s="152" t="n"/>
    </row>
    <row r="665">
      <c r="I665" s="152" t="n"/>
    </row>
    <row r="666">
      <c r="I666" s="152" t="n"/>
    </row>
    <row r="667">
      <c r="I667" s="152" t="n"/>
    </row>
    <row r="668">
      <c r="I668" s="152" t="n"/>
    </row>
    <row r="669">
      <c r="I669" s="152" t="n"/>
    </row>
    <row r="670">
      <c r="I670" s="152" t="n"/>
    </row>
    <row r="671">
      <c r="I671" s="152" t="n"/>
    </row>
    <row r="672">
      <c r="I672" s="152" t="n"/>
    </row>
    <row r="673">
      <c r="I673" s="152" t="n"/>
    </row>
    <row r="674">
      <c r="I674" s="152" t="n"/>
    </row>
    <row r="675">
      <c r="I675" s="152" t="n"/>
    </row>
    <row r="676">
      <c r="I676" s="152" t="n"/>
    </row>
    <row r="677">
      <c r="I677" s="152" t="n"/>
    </row>
    <row r="678">
      <c r="I678" s="152" t="n"/>
    </row>
    <row r="679">
      <c r="I679" s="152" t="n"/>
    </row>
    <row r="680">
      <c r="I680" s="152" t="n"/>
    </row>
    <row r="681">
      <c r="I681" s="152" t="n"/>
    </row>
    <row r="682">
      <c r="I682" s="152" t="n"/>
    </row>
    <row r="683">
      <c r="I683" s="152" t="n"/>
    </row>
    <row r="684">
      <c r="I684" s="152" t="n"/>
    </row>
    <row r="685">
      <c r="I685" s="152" t="n"/>
    </row>
    <row r="686">
      <c r="I686" s="152" t="n"/>
    </row>
    <row r="687">
      <c r="I687" s="152" t="n"/>
    </row>
    <row r="688">
      <c r="I688" s="152" t="n"/>
    </row>
    <row r="689">
      <c r="I689" s="152" t="n"/>
    </row>
    <row r="690">
      <c r="I690" s="152" t="n"/>
    </row>
    <row r="691">
      <c r="I691" s="152" t="n"/>
    </row>
    <row r="692">
      <c r="I692" s="152" t="n"/>
    </row>
    <row r="693">
      <c r="I693" s="152" t="n"/>
    </row>
    <row r="694">
      <c r="I694" s="152" t="n"/>
    </row>
    <row r="695">
      <c r="I695" s="152" t="n"/>
    </row>
    <row r="696">
      <c r="I696" s="152" t="n"/>
    </row>
    <row r="697">
      <c r="I697" s="152" t="n"/>
    </row>
    <row r="698">
      <c r="I698" s="152" t="n"/>
    </row>
    <row r="699">
      <c r="I699" s="152" t="n"/>
    </row>
    <row r="700">
      <c r="I700" s="152" t="n"/>
    </row>
    <row r="701">
      <c r="I701" s="152" t="n"/>
    </row>
    <row r="702">
      <c r="I702" s="152" t="n"/>
    </row>
    <row r="703">
      <c r="I703" s="152" t="n"/>
    </row>
    <row r="704">
      <c r="I704" s="152" t="n"/>
    </row>
    <row r="705">
      <c r="I705" s="152" t="n"/>
    </row>
    <row r="706">
      <c r="I706" s="152" t="n"/>
    </row>
    <row r="707">
      <c r="I707" s="152" t="n"/>
    </row>
    <row r="708">
      <c r="I708" s="152" t="n"/>
    </row>
    <row r="709">
      <c r="I709" s="152" t="n"/>
    </row>
    <row r="710">
      <c r="I710" s="152" t="n"/>
    </row>
    <row r="711">
      <c r="I711" s="152" t="n"/>
    </row>
    <row r="712">
      <c r="I712" s="152" t="n"/>
    </row>
    <row r="713">
      <c r="I713" s="152" t="n"/>
    </row>
    <row r="714">
      <c r="I714" s="152" t="n"/>
    </row>
    <row r="715">
      <c r="I715" s="152" t="n"/>
    </row>
    <row r="716">
      <c r="I716" s="152" t="n"/>
    </row>
    <row r="717">
      <c r="I717" s="152" t="n"/>
    </row>
    <row r="718">
      <c r="I718" s="152" t="n"/>
    </row>
    <row r="719">
      <c r="I719" s="152" t="n"/>
    </row>
    <row r="720">
      <c r="I720" s="152" t="n"/>
    </row>
    <row r="721">
      <c r="I721" s="152" t="n"/>
    </row>
    <row r="722">
      <c r="I722" s="152" t="n"/>
    </row>
    <row r="723">
      <c r="I723" s="152" t="n"/>
    </row>
    <row r="724">
      <c r="I724" s="152" t="n"/>
    </row>
    <row r="725">
      <c r="I725" s="152" t="n"/>
    </row>
    <row r="726">
      <c r="I726" s="152" t="n"/>
    </row>
    <row r="727">
      <c r="I727" s="152" t="n"/>
    </row>
    <row r="728">
      <c r="I728" s="152" t="n"/>
    </row>
    <row r="729">
      <c r="I729" s="152" t="n"/>
    </row>
    <row r="730">
      <c r="I730" s="152" t="n"/>
    </row>
    <row r="731">
      <c r="I731" s="152" t="n"/>
    </row>
    <row r="732">
      <c r="I732" s="152" t="n"/>
    </row>
    <row r="733">
      <c r="I733" s="152" t="n"/>
    </row>
    <row r="734">
      <c r="I734" s="152" t="n"/>
    </row>
    <row r="735">
      <c r="I735" s="152" t="n"/>
    </row>
    <row r="736">
      <c r="I736" s="152" t="n"/>
    </row>
    <row r="737">
      <c r="I737" s="152" t="n"/>
    </row>
    <row r="738">
      <c r="I738" s="152" t="n"/>
    </row>
    <row r="739">
      <c r="I739" s="152" t="n"/>
    </row>
    <row r="740">
      <c r="I740" s="152" t="n"/>
    </row>
    <row r="741">
      <c r="I741" s="152" t="n"/>
    </row>
    <row r="742">
      <c r="I742" s="152" t="n"/>
    </row>
    <row r="743">
      <c r="I743" s="152" t="n"/>
    </row>
    <row r="744">
      <c r="I744" s="152" t="n"/>
    </row>
    <row r="745">
      <c r="I745" s="152" t="n"/>
    </row>
    <row r="746">
      <c r="I746" s="152" t="n"/>
    </row>
    <row r="747">
      <c r="I747" s="152" t="n"/>
    </row>
    <row r="748">
      <c r="I748" s="152" t="n"/>
    </row>
    <row r="749">
      <c r="I749" s="152" t="n"/>
    </row>
    <row r="750">
      <c r="I750" s="152" t="n"/>
    </row>
    <row r="751">
      <c r="I751" s="152" t="n"/>
    </row>
    <row r="752">
      <c r="I752" s="152" t="n"/>
    </row>
    <row r="753">
      <c r="I753" s="152" t="n"/>
    </row>
    <row r="754">
      <c r="I754" s="152" t="n"/>
    </row>
    <row r="755">
      <c r="I755" s="152" t="n"/>
    </row>
    <row r="756">
      <c r="I756" s="152" t="n"/>
    </row>
    <row r="757">
      <c r="I757" s="152" t="n"/>
    </row>
    <row r="758">
      <c r="I758" s="152" t="n"/>
    </row>
    <row r="759">
      <c r="I759" s="152" t="n"/>
    </row>
    <row r="760">
      <c r="I760" s="152" t="n"/>
    </row>
    <row r="761">
      <c r="I761" s="152" t="n"/>
    </row>
    <row r="762">
      <c r="I762" s="152" t="n"/>
    </row>
    <row r="763">
      <c r="I763" s="152" t="n"/>
    </row>
    <row r="764">
      <c r="I764" s="152" t="n"/>
    </row>
    <row r="765">
      <c r="I765" s="152" t="n"/>
    </row>
    <row r="766">
      <c r="I766" s="152" t="n"/>
    </row>
    <row r="767">
      <c r="I767" s="152" t="n"/>
    </row>
    <row r="768">
      <c r="I768" s="152" t="n"/>
    </row>
    <row r="769">
      <c r="I769" s="152" t="n"/>
    </row>
    <row r="770">
      <c r="I770" s="152" t="n"/>
    </row>
    <row r="771">
      <c r="I771" s="152" t="n"/>
    </row>
    <row r="772">
      <c r="I772" s="152" t="n"/>
    </row>
    <row r="773">
      <c r="I773" s="152" t="n"/>
    </row>
    <row r="774">
      <c r="I774" s="152" t="n"/>
    </row>
    <row r="775">
      <c r="I775" s="152" t="n"/>
    </row>
    <row r="776">
      <c r="I776" s="152" t="n"/>
    </row>
    <row r="777">
      <c r="I777" s="152" t="n"/>
    </row>
    <row r="778">
      <c r="I778" s="152" t="n"/>
    </row>
    <row r="779">
      <c r="I779" s="152" t="n"/>
    </row>
    <row r="780">
      <c r="I780" s="152" t="n"/>
    </row>
    <row r="781">
      <c r="I781" s="152" t="n"/>
    </row>
    <row r="782">
      <c r="I782" s="152" t="n"/>
    </row>
    <row r="783">
      <c r="I783" s="152" t="n"/>
    </row>
    <row r="784">
      <c r="I784" s="152" t="n"/>
    </row>
    <row r="785">
      <c r="I785" s="152" t="n"/>
    </row>
    <row r="786">
      <c r="I786" s="152" t="n"/>
    </row>
    <row r="787">
      <c r="I787" s="152" t="n"/>
    </row>
    <row r="788">
      <c r="I788" s="152" t="n"/>
    </row>
    <row r="789">
      <c r="I789" s="152" t="n"/>
    </row>
    <row r="790">
      <c r="I790" s="152" t="n"/>
    </row>
    <row r="791">
      <c r="I791" s="152" t="n"/>
    </row>
    <row r="792">
      <c r="I792" s="152" t="n"/>
    </row>
    <row r="793">
      <c r="I793" s="152" t="n"/>
    </row>
    <row r="794">
      <c r="I794" s="152" t="n"/>
    </row>
    <row r="795">
      <c r="I795" s="152" t="n"/>
    </row>
    <row r="796">
      <c r="I796" s="152" t="n"/>
    </row>
    <row r="797">
      <c r="I797" s="152" t="n"/>
    </row>
    <row r="798">
      <c r="I798" s="152" t="n"/>
    </row>
    <row r="799">
      <c r="I799" s="152" t="n"/>
    </row>
    <row r="800">
      <c r="I800" s="152" t="n"/>
    </row>
    <row r="801">
      <c r="I801" s="152" t="n"/>
    </row>
    <row r="802">
      <c r="I802" s="152" t="n"/>
    </row>
    <row r="803">
      <c r="I803" s="152" t="n"/>
    </row>
    <row r="804">
      <c r="I804" s="152" t="n"/>
    </row>
    <row r="805">
      <c r="I805" s="152" t="n"/>
    </row>
    <row r="806">
      <c r="I806" s="152" t="n"/>
    </row>
    <row r="807">
      <c r="I807" s="152" t="n"/>
    </row>
    <row r="808">
      <c r="I808" s="152" t="n"/>
    </row>
    <row r="809">
      <c r="I809" s="152" t="n"/>
    </row>
    <row r="810">
      <c r="I810" s="152" t="n"/>
    </row>
    <row r="811">
      <c r="I811" s="152" t="n"/>
    </row>
    <row r="812">
      <c r="I812" s="152" t="n"/>
    </row>
    <row r="813">
      <c r="I813" s="152" t="n"/>
    </row>
    <row r="814">
      <c r="I814" s="152" t="n"/>
    </row>
    <row r="815">
      <c r="I815" s="152" t="n"/>
    </row>
    <row r="816">
      <c r="I816" s="152" t="n"/>
    </row>
    <row r="817">
      <c r="I817" s="152" t="n"/>
    </row>
    <row r="818">
      <c r="I818" s="152" t="n"/>
    </row>
    <row r="819">
      <c r="I819" s="152" t="n"/>
    </row>
    <row r="820">
      <c r="I820" s="152" t="n"/>
    </row>
    <row r="821">
      <c r="I821" s="152" t="n"/>
    </row>
    <row r="822">
      <c r="I822" s="152" t="n"/>
    </row>
    <row r="823">
      <c r="I823" s="152" t="n"/>
    </row>
    <row r="824">
      <c r="I824" s="152" t="n"/>
    </row>
    <row r="825">
      <c r="I825" s="152" t="n"/>
    </row>
    <row r="826">
      <c r="I826" s="152" t="n"/>
    </row>
    <row r="827">
      <c r="I827" s="152" t="n"/>
    </row>
    <row r="828">
      <c r="I828" s="152" t="n"/>
    </row>
    <row r="829">
      <c r="I829" s="152" t="n"/>
    </row>
    <row r="830">
      <c r="I830" s="152" t="n"/>
    </row>
    <row r="831">
      <c r="I831" s="152" t="n"/>
    </row>
    <row r="832">
      <c r="I832" s="152" t="n"/>
    </row>
    <row r="833">
      <c r="I833" s="152" t="n"/>
    </row>
    <row r="834">
      <c r="I834" s="152" t="n"/>
    </row>
    <row r="835">
      <c r="I835" s="152" t="n"/>
    </row>
    <row r="836">
      <c r="I836" s="152" t="n"/>
    </row>
    <row r="837">
      <c r="I837" s="152" t="n"/>
    </row>
    <row r="838">
      <c r="I838" s="152" t="n"/>
    </row>
    <row r="839">
      <c r="I839" s="152" t="n"/>
    </row>
    <row r="840">
      <c r="I840" s="152" t="n"/>
    </row>
    <row r="841">
      <c r="I841" s="152" t="n"/>
    </row>
    <row r="842">
      <c r="I842" s="152" t="n"/>
    </row>
    <row r="843">
      <c r="I843" s="152" t="n"/>
    </row>
    <row r="844">
      <c r="I844" s="152" t="n"/>
    </row>
    <row r="845">
      <c r="I845" s="152" t="n"/>
    </row>
    <row r="846">
      <c r="I846" s="152" t="n"/>
    </row>
    <row r="847">
      <c r="I847" s="152" t="n"/>
    </row>
    <row r="848">
      <c r="I848" s="152" t="n"/>
    </row>
    <row r="849">
      <c r="I849" s="152" t="n"/>
    </row>
    <row r="850">
      <c r="I850" s="152" t="n"/>
    </row>
    <row r="851">
      <c r="I851" s="152" t="n"/>
    </row>
    <row r="852">
      <c r="I852" s="152" t="n"/>
    </row>
    <row r="853">
      <c r="I853" s="152" t="n"/>
    </row>
    <row r="854">
      <c r="I854" s="152" t="n"/>
    </row>
    <row r="855">
      <c r="I855" s="152" t="n"/>
    </row>
    <row r="856">
      <c r="I856" s="152" t="n"/>
    </row>
    <row r="857">
      <c r="I857" s="152" t="n"/>
    </row>
    <row r="858">
      <c r="I858" s="152" t="n"/>
    </row>
    <row r="859">
      <c r="I859" s="152" t="n"/>
    </row>
    <row r="860">
      <c r="I860" s="152" t="n"/>
    </row>
    <row r="861">
      <c r="I861" s="152" t="n"/>
    </row>
    <row r="862">
      <c r="I862" s="152" t="n"/>
    </row>
    <row r="863">
      <c r="I863" s="152" t="n"/>
    </row>
    <row r="864">
      <c r="I864" s="152" t="n"/>
    </row>
    <row r="865">
      <c r="I865" s="152" t="n"/>
    </row>
    <row r="866">
      <c r="I866" s="152" t="n"/>
    </row>
    <row r="867">
      <c r="I867" s="152" t="n"/>
    </row>
    <row r="868">
      <c r="I868" s="152" t="n"/>
    </row>
    <row r="869">
      <c r="I869" s="152" t="n"/>
    </row>
    <row r="870">
      <c r="I870" s="152" t="n"/>
    </row>
    <row r="871">
      <c r="I871" s="152" t="n"/>
    </row>
    <row r="872">
      <c r="I872" s="152" t="n"/>
    </row>
    <row r="873">
      <c r="I873" s="152" t="n"/>
    </row>
    <row r="874">
      <c r="I874" s="152" t="n"/>
    </row>
    <row r="875">
      <c r="I875" s="152" t="n"/>
    </row>
    <row r="876">
      <c r="I876" s="152" t="n"/>
    </row>
    <row r="877">
      <c r="I877" s="152" t="n"/>
    </row>
    <row r="878">
      <c r="I878" s="152" t="n"/>
    </row>
    <row r="879">
      <c r="I879" s="152" t="n"/>
    </row>
    <row r="880">
      <c r="I880" s="152" t="n"/>
    </row>
    <row r="881">
      <c r="I881" s="152" t="n"/>
    </row>
    <row r="882">
      <c r="I882" s="152" t="n"/>
    </row>
    <row r="883">
      <c r="I883" s="152" t="n"/>
    </row>
    <row r="884">
      <c r="I884" s="152" t="n"/>
    </row>
    <row r="885">
      <c r="I885" s="152" t="n"/>
    </row>
    <row r="886">
      <c r="I886" s="152" t="n"/>
    </row>
    <row r="887">
      <c r="I887" s="152" t="n"/>
    </row>
    <row r="888">
      <c r="I888" s="152" t="n"/>
    </row>
    <row r="889">
      <c r="I889" s="152" t="n"/>
    </row>
    <row r="890">
      <c r="I890" s="152" t="n"/>
    </row>
    <row r="891">
      <c r="I891" s="152" t="n"/>
    </row>
    <row r="892">
      <c r="I892" s="152" t="n"/>
    </row>
    <row r="893">
      <c r="I893" s="152" t="n"/>
    </row>
    <row r="894">
      <c r="I894" s="152" t="n"/>
    </row>
    <row r="895">
      <c r="I895" s="152" t="n"/>
    </row>
    <row r="896">
      <c r="I896" s="152" t="n"/>
    </row>
    <row r="897">
      <c r="I897" s="152" t="n"/>
    </row>
    <row r="898">
      <c r="I898" s="152" t="n"/>
    </row>
    <row r="899">
      <c r="I899" s="152" t="n"/>
    </row>
    <row r="900">
      <c r="I900" s="152" t="n"/>
    </row>
    <row r="901">
      <c r="I901" s="152" t="n"/>
    </row>
    <row r="902">
      <c r="I902" s="152" t="n"/>
    </row>
    <row r="903">
      <c r="I903" s="152" t="n"/>
    </row>
    <row r="904">
      <c r="I904" s="152" t="n"/>
    </row>
    <row r="905">
      <c r="I905" s="152" t="n"/>
    </row>
    <row r="906">
      <c r="I906" s="152" t="n"/>
    </row>
    <row r="907">
      <c r="I907" s="152" t="n"/>
    </row>
    <row r="908">
      <c r="I908" s="152" t="n"/>
    </row>
    <row r="909">
      <c r="I909" s="152" t="n"/>
    </row>
    <row r="910">
      <c r="I910" s="152" t="n"/>
    </row>
    <row r="911">
      <c r="I911" s="152" t="n"/>
    </row>
    <row r="912">
      <c r="I912" s="152" t="n"/>
    </row>
    <row r="913">
      <c r="I913" s="152" t="n"/>
    </row>
    <row r="914">
      <c r="I914" s="152" t="n"/>
    </row>
    <row r="915">
      <c r="I915" s="152" t="n"/>
    </row>
    <row r="916">
      <c r="I916" s="152" t="n"/>
    </row>
    <row r="917">
      <c r="I917" s="152" t="n"/>
    </row>
    <row r="918">
      <c r="I918" s="152" t="n"/>
    </row>
    <row r="919">
      <c r="I919" s="152" t="n"/>
    </row>
    <row r="920">
      <c r="I920" s="152" t="n"/>
    </row>
    <row r="921">
      <c r="I921" s="152" t="n"/>
    </row>
    <row r="922">
      <c r="I922" s="152" t="n"/>
    </row>
    <row r="923">
      <c r="I923" s="152" t="n"/>
    </row>
    <row r="924">
      <c r="I924" s="152" t="n"/>
    </row>
    <row r="925">
      <c r="I925" s="152" t="n"/>
    </row>
    <row r="926">
      <c r="I926" s="152" t="n"/>
    </row>
    <row r="927">
      <c r="I927" s="152" t="n"/>
    </row>
    <row r="928">
      <c r="I928" s="152" t="n"/>
    </row>
    <row r="929">
      <c r="I929" s="152" t="n"/>
    </row>
    <row r="930">
      <c r="I930" s="152" t="n"/>
    </row>
    <row r="931">
      <c r="I931" s="152" t="n"/>
    </row>
    <row r="932">
      <c r="I932" s="152" t="n"/>
    </row>
    <row r="933">
      <c r="I933" s="152" t="n"/>
    </row>
    <row r="934">
      <c r="I934" s="152" t="n"/>
    </row>
    <row r="935">
      <c r="I935" s="152" t="n"/>
    </row>
    <row r="936">
      <c r="I936" s="152" t="n"/>
    </row>
    <row r="937">
      <c r="I937" s="152" t="n"/>
    </row>
    <row r="938">
      <c r="I938" s="152" t="n"/>
    </row>
    <row r="939">
      <c r="I939" s="152" t="n"/>
    </row>
    <row r="940">
      <c r="I940" s="152" t="n"/>
    </row>
    <row r="941">
      <c r="I941" s="152" t="n"/>
    </row>
    <row r="942">
      <c r="I942" s="152" t="n"/>
    </row>
    <row r="943">
      <c r="I943" s="152" t="n"/>
    </row>
    <row r="944">
      <c r="I944" s="152" t="n"/>
    </row>
    <row r="945">
      <c r="I945" s="152" t="n"/>
    </row>
    <row r="946">
      <c r="I946" s="152" t="n"/>
    </row>
    <row r="947">
      <c r="I947" s="152" t="n"/>
    </row>
    <row r="948">
      <c r="I948" s="152" t="n"/>
    </row>
    <row r="949">
      <c r="I949" s="152" t="n"/>
    </row>
    <row r="950">
      <c r="I950" s="152" t="n"/>
    </row>
    <row r="951">
      <c r="I951" s="152" t="n"/>
    </row>
    <row r="952">
      <c r="I952" s="152" t="n"/>
    </row>
    <row r="953">
      <c r="I953" s="152" t="n"/>
    </row>
    <row r="954">
      <c r="I954" s="152" t="n"/>
    </row>
    <row r="955">
      <c r="I955" s="152" t="n"/>
    </row>
    <row r="956">
      <c r="I956" s="152" t="n"/>
    </row>
    <row r="957">
      <c r="I957" s="152" t="n"/>
    </row>
    <row r="958">
      <c r="I958" s="152" t="n"/>
    </row>
    <row r="959">
      <c r="I959" s="152" t="n"/>
    </row>
    <row r="960">
      <c r="I960" s="152" t="n"/>
    </row>
    <row r="961">
      <c r="I961" s="152" t="n"/>
    </row>
    <row r="962">
      <c r="I962" s="152" t="n"/>
    </row>
    <row r="963">
      <c r="I963" s="152" t="n"/>
    </row>
    <row r="964">
      <c r="I964" s="152" t="n"/>
    </row>
    <row r="965">
      <c r="I965" s="152" t="n"/>
    </row>
    <row r="966">
      <c r="I966" s="152" t="n"/>
    </row>
    <row r="967">
      <c r="I967" s="152" t="n"/>
    </row>
    <row r="968">
      <c r="I968" s="152" t="n"/>
    </row>
    <row r="969">
      <c r="I969" s="152" t="n"/>
    </row>
    <row r="970">
      <c r="I970" s="152" t="n"/>
    </row>
    <row r="971">
      <c r="I971" s="152" t="n"/>
    </row>
    <row r="972">
      <c r="I972" s="152" t="n"/>
    </row>
    <row r="973">
      <c r="I973" s="152" t="n"/>
    </row>
    <row r="974">
      <c r="I974" s="152" t="n"/>
    </row>
    <row r="975">
      <c r="I975" s="152" t="n"/>
    </row>
    <row r="976">
      <c r="I976" s="152" t="n"/>
    </row>
    <row r="977">
      <c r="I977" s="152" t="n"/>
    </row>
    <row r="978">
      <c r="I978" s="152" t="n"/>
    </row>
    <row r="979">
      <c r="I979" s="152" t="n"/>
    </row>
    <row r="980">
      <c r="I980" s="152" t="n"/>
    </row>
    <row r="981">
      <c r="I981" s="152" t="n"/>
    </row>
    <row r="982">
      <c r="I982" s="152" t="n"/>
    </row>
    <row r="983">
      <c r="I983" s="152" t="n"/>
    </row>
    <row r="984">
      <c r="I984" s="152" t="n"/>
    </row>
    <row r="985">
      <c r="I985" s="152" t="n"/>
    </row>
    <row r="986">
      <c r="I986" s="152" t="n"/>
    </row>
    <row r="987">
      <c r="I987" s="152" t="n"/>
    </row>
    <row r="988">
      <c r="I988" s="152" t="n"/>
    </row>
    <row r="989">
      <c r="I989" s="152" t="n"/>
    </row>
    <row r="990">
      <c r="I990" s="152" t="n"/>
    </row>
    <row r="991">
      <c r="I991" s="152" t="n"/>
    </row>
    <row r="992">
      <c r="I992" s="152" t="n"/>
    </row>
    <row r="993">
      <c r="I993" s="152" t="n"/>
    </row>
    <row r="994">
      <c r="I994" s="152" t="n"/>
    </row>
    <row r="995">
      <c r="I995" s="152" t="n"/>
    </row>
    <row r="996">
      <c r="I996" s="152" t="n"/>
    </row>
    <row r="997">
      <c r="I997" s="152" t="n"/>
    </row>
    <row r="998">
      <c r="I998" s="152" t="n"/>
    </row>
    <row r="999">
      <c r="I999" s="152" t="n"/>
    </row>
    <row r="1000">
      <c r="I1000" s="152" t="n"/>
    </row>
  </sheetData>
  <autoFilter ref="$A$3:$I$254"/>
  <mergeCells count="1">
    <mergeCell ref="A2:I2"/>
  </mergeCells>
  <pageMargins left="0.511811024" right="0.511811024" top="0.787401575" bottom="0.787401575" header="0" footer="0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2026-09-10T02:33:06Z</dcterms:created>
  <dcterms:modified xsi:type="dcterms:W3CDTF">2026-09-10T02:33:08Z</dcterms:modified>
</cp:coreProperties>
</file>